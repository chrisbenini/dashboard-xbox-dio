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2C70664A-87A1-4780-B275-F9192DEA41B1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B̳ases" sheetId="2" state="hidden" r:id="rId1"/>
    <sheet name="Cálculos" sheetId="3" state="hidden" r:id="rId2"/>
    <sheet name="Dashboard" sheetId="4" r:id="rId3"/>
  </sheets>
  <calcPr calcId="181029"/>
</workbook>
</file>

<file path=xl/calcChain.xml><?xml version="1.0" encoding="utf-8"?>
<calcChain xmlns="http://schemas.openxmlformats.org/spreadsheetml/2006/main">
  <c r="I5" i="3" l="1"/>
  <c r="F313" i="3"/>
  <c r="M298" i="3"/>
  <c r="L298" i="3"/>
  <c r="K298" i="3"/>
  <c r="J298" i="3"/>
  <c r="I298" i="3"/>
  <c r="H298" i="3"/>
  <c r="G298" i="3"/>
  <c r="F298" i="3"/>
  <c r="C298" i="3"/>
  <c r="E298" i="3" s="1"/>
  <c r="B298" i="3"/>
  <c r="A298" i="3"/>
  <c r="M297" i="3"/>
  <c r="L297" i="3"/>
  <c r="K297" i="3"/>
  <c r="J297" i="3"/>
  <c r="I297" i="3"/>
  <c r="H297" i="3"/>
  <c r="G297" i="3"/>
  <c r="F297" i="3"/>
  <c r="E297" i="3"/>
  <c r="D297" i="3"/>
  <c r="C297" i="3"/>
  <c r="B297" i="3"/>
  <c r="A297" i="3"/>
  <c r="M296" i="3"/>
  <c r="L296" i="3"/>
  <c r="K296" i="3"/>
  <c r="J296" i="3"/>
  <c r="I296" i="3"/>
  <c r="H296" i="3"/>
  <c r="G296" i="3"/>
  <c r="F296" i="3"/>
  <c r="C296" i="3"/>
  <c r="E296" i="3" s="1"/>
  <c r="B296" i="3"/>
  <c r="A296" i="3"/>
  <c r="M295" i="3"/>
  <c r="L295" i="3"/>
  <c r="K295" i="3"/>
  <c r="J295" i="3"/>
  <c r="I295" i="3"/>
  <c r="H295" i="3"/>
  <c r="G295" i="3"/>
  <c r="F295" i="3"/>
  <c r="C295" i="3"/>
  <c r="D295" i="3" s="1"/>
  <c r="B295" i="3"/>
  <c r="A295" i="3"/>
  <c r="M294" i="3"/>
  <c r="L294" i="3"/>
  <c r="K294" i="3"/>
  <c r="J294" i="3"/>
  <c r="I294" i="3"/>
  <c r="H294" i="3"/>
  <c r="G294" i="3"/>
  <c r="F294" i="3"/>
  <c r="C294" i="3"/>
  <c r="E294" i="3" s="1"/>
  <c r="B294" i="3"/>
  <c r="A294" i="3"/>
  <c r="M293" i="3"/>
  <c r="L293" i="3"/>
  <c r="K293" i="3"/>
  <c r="J293" i="3"/>
  <c r="I293" i="3"/>
  <c r="H293" i="3"/>
  <c r="G293" i="3"/>
  <c r="F293" i="3"/>
  <c r="D293" i="3"/>
  <c r="C293" i="3"/>
  <c r="E293" i="3" s="1"/>
  <c r="B293" i="3"/>
  <c r="A293" i="3"/>
  <c r="M292" i="3"/>
  <c r="L292" i="3"/>
  <c r="K292" i="3"/>
  <c r="J292" i="3"/>
  <c r="I292" i="3"/>
  <c r="H292" i="3"/>
  <c r="G292" i="3"/>
  <c r="F292" i="3"/>
  <c r="E292" i="3"/>
  <c r="C292" i="3"/>
  <c r="D292" i="3" s="1"/>
  <c r="B292" i="3"/>
  <c r="A292" i="3"/>
  <c r="M291" i="3"/>
  <c r="L291" i="3"/>
  <c r="K291" i="3"/>
  <c r="J291" i="3"/>
  <c r="I291" i="3"/>
  <c r="H291" i="3"/>
  <c r="G291" i="3"/>
  <c r="F291" i="3"/>
  <c r="D291" i="3"/>
  <c r="C291" i="3"/>
  <c r="E291" i="3" s="1"/>
  <c r="B291" i="3"/>
  <c r="A291" i="3"/>
  <c r="M290" i="3"/>
  <c r="L290" i="3"/>
  <c r="K290" i="3"/>
  <c r="J290" i="3"/>
  <c r="I290" i="3"/>
  <c r="H290" i="3"/>
  <c r="G290" i="3"/>
  <c r="F290" i="3"/>
  <c r="E290" i="3"/>
  <c r="D290" i="3"/>
  <c r="C290" i="3"/>
  <c r="B290" i="3"/>
  <c r="A290" i="3"/>
  <c r="M289" i="3"/>
  <c r="L289" i="3"/>
  <c r="K289" i="3"/>
  <c r="J289" i="3"/>
  <c r="I289" i="3"/>
  <c r="H289" i="3"/>
  <c r="G289" i="3"/>
  <c r="F289" i="3"/>
  <c r="D289" i="3"/>
  <c r="C289" i="3"/>
  <c r="E289" i="3" s="1"/>
  <c r="B289" i="3"/>
  <c r="A289" i="3"/>
  <c r="M288" i="3"/>
  <c r="L288" i="3"/>
  <c r="K288" i="3"/>
  <c r="J288" i="3"/>
  <c r="I288" i="3"/>
  <c r="H288" i="3"/>
  <c r="G288" i="3"/>
  <c r="F288" i="3"/>
  <c r="C288" i="3"/>
  <c r="E288" i="3" s="1"/>
  <c r="B288" i="3"/>
  <c r="A288" i="3"/>
  <c r="M287" i="3"/>
  <c r="L287" i="3"/>
  <c r="K287" i="3"/>
  <c r="J287" i="3"/>
  <c r="I287" i="3"/>
  <c r="H287" i="3"/>
  <c r="G287" i="3"/>
  <c r="F287" i="3"/>
  <c r="C287" i="3"/>
  <c r="E287" i="3" s="1"/>
  <c r="B287" i="3"/>
  <c r="A287" i="3"/>
  <c r="M286" i="3"/>
  <c r="L286" i="3"/>
  <c r="K286" i="3"/>
  <c r="J286" i="3"/>
  <c r="I286" i="3"/>
  <c r="H286" i="3"/>
  <c r="G286" i="3"/>
  <c r="F286" i="3"/>
  <c r="E286" i="3"/>
  <c r="C286" i="3"/>
  <c r="D286" i="3" s="1"/>
  <c r="B286" i="3"/>
  <c r="A286" i="3"/>
  <c r="M285" i="3"/>
  <c r="L285" i="3"/>
  <c r="K285" i="3"/>
  <c r="J285" i="3"/>
  <c r="I285" i="3"/>
  <c r="H285" i="3"/>
  <c r="G285" i="3"/>
  <c r="F285" i="3"/>
  <c r="E285" i="3"/>
  <c r="D285" i="3"/>
  <c r="C285" i="3"/>
  <c r="B285" i="3"/>
  <c r="A285" i="3"/>
  <c r="M284" i="3"/>
  <c r="L284" i="3"/>
  <c r="K284" i="3"/>
  <c r="J284" i="3"/>
  <c r="I284" i="3"/>
  <c r="H284" i="3"/>
  <c r="G284" i="3"/>
  <c r="F284" i="3"/>
  <c r="E284" i="3"/>
  <c r="C284" i="3"/>
  <c r="D284" i="3" s="1"/>
  <c r="B284" i="3"/>
  <c r="A284" i="3"/>
  <c r="M283" i="3"/>
  <c r="L283" i="3"/>
  <c r="K283" i="3"/>
  <c r="J283" i="3"/>
  <c r="I283" i="3"/>
  <c r="H283" i="3"/>
  <c r="G283" i="3"/>
  <c r="F283" i="3"/>
  <c r="D283" i="3"/>
  <c r="C283" i="3"/>
  <c r="E283" i="3" s="1"/>
  <c r="B283" i="3"/>
  <c r="A283" i="3"/>
  <c r="M282" i="3"/>
  <c r="L282" i="3"/>
  <c r="K282" i="3"/>
  <c r="J282" i="3"/>
  <c r="I282" i="3"/>
  <c r="H282" i="3"/>
  <c r="G282" i="3"/>
  <c r="F282" i="3"/>
  <c r="C282" i="3"/>
  <c r="E282" i="3" s="1"/>
  <c r="B282" i="3"/>
  <c r="A282" i="3"/>
  <c r="M281" i="3"/>
  <c r="L281" i="3"/>
  <c r="K281" i="3"/>
  <c r="J281" i="3"/>
  <c r="I281" i="3"/>
  <c r="H281" i="3"/>
  <c r="G281" i="3"/>
  <c r="F281" i="3"/>
  <c r="E281" i="3"/>
  <c r="D281" i="3"/>
  <c r="C281" i="3"/>
  <c r="B281" i="3"/>
  <c r="A281" i="3"/>
  <c r="M280" i="3"/>
  <c r="L280" i="3"/>
  <c r="K280" i="3"/>
  <c r="J280" i="3"/>
  <c r="I280" i="3"/>
  <c r="H280" i="3"/>
  <c r="G280" i="3"/>
  <c r="F280" i="3"/>
  <c r="C280" i="3"/>
  <c r="E280" i="3" s="1"/>
  <c r="B280" i="3"/>
  <c r="A280" i="3"/>
  <c r="M279" i="3"/>
  <c r="L279" i="3"/>
  <c r="K279" i="3"/>
  <c r="J279" i="3"/>
  <c r="I279" i="3"/>
  <c r="H279" i="3"/>
  <c r="G279" i="3"/>
  <c r="F279" i="3"/>
  <c r="C279" i="3"/>
  <c r="D279" i="3" s="1"/>
  <c r="B279" i="3"/>
  <c r="A279" i="3"/>
  <c r="M278" i="3"/>
  <c r="L278" i="3"/>
  <c r="K278" i="3"/>
  <c r="J278" i="3"/>
  <c r="I278" i="3"/>
  <c r="H278" i="3"/>
  <c r="G278" i="3"/>
  <c r="F278" i="3"/>
  <c r="C278" i="3"/>
  <c r="E278" i="3" s="1"/>
  <c r="B278" i="3"/>
  <c r="A278" i="3"/>
  <c r="M277" i="3"/>
  <c r="L277" i="3"/>
  <c r="K277" i="3"/>
  <c r="J277" i="3"/>
  <c r="I277" i="3"/>
  <c r="H277" i="3"/>
  <c r="G277" i="3"/>
  <c r="F277" i="3"/>
  <c r="D277" i="3"/>
  <c r="C277" i="3"/>
  <c r="E277" i="3" s="1"/>
  <c r="B277" i="3"/>
  <c r="A277" i="3"/>
  <c r="M276" i="3"/>
  <c r="L276" i="3"/>
  <c r="K276" i="3"/>
  <c r="J276" i="3"/>
  <c r="I276" i="3"/>
  <c r="H276" i="3"/>
  <c r="G276" i="3"/>
  <c r="F276" i="3"/>
  <c r="E276" i="3"/>
  <c r="C276" i="3"/>
  <c r="D276" i="3" s="1"/>
  <c r="B276" i="3"/>
  <c r="A276" i="3"/>
  <c r="M275" i="3"/>
  <c r="L275" i="3"/>
  <c r="K275" i="3"/>
  <c r="J275" i="3"/>
  <c r="I275" i="3"/>
  <c r="H275" i="3"/>
  <c r="G275" i="3"/>
  <c r="F275" i="3"/>
  <c r="D275" i="3"/>
  <c r="C275" i="3"/>
  <c r="E275" i="3" s="1"/>
  <c r="B275" i="3"/>
  <c r="A275" i="3"/>
  <c r="M274" i="3"/>
  <c r="L274" i="3"/>
  <c r="K274" i="3"/>
  <c r="J274" i="3"/>
  <c r="I274" i="3"/>
  <c r="H274" i="3"/>
  <c r="G274" i="3"/>
  <c r="F274" i="3"/>
  <c r="E274" i="3"/>
  <c r="D274" i="3"/>
  <c r="C274" i="3"/>
  <c r="B274" i="3"/>
  <c r="A274" i="3"/>
  <c r="M273" i="3"/>
  <c r="L273" i="3"/>
  <c r="K273" i="3"/>
  <c r="J273" i="3"/>
  <c r="I273" i="3"/>
  <c r="H273" i="3"/>
  <c r="G273" i="3"/>
  <c r="F273" i="3"/>
  <c r="D273" i="3"/>
  <c r="C273" i="3"/>
  <c r="E273" i="3" s="1"/>
  <c r="B273" i="3"/>
  <c r="A273" i="3"/>
  <c r="M272" i="3"/>
  <c r="L272" i="3"/>
  <c r="K272" i="3"/>
  <c r="J272" i="3"/>
  <c r="I272" i="3"/>
  <c r="H272" i="3"/>
  <c r="G272" i="3"/>
  <c r="F272" i="3"/>
  <c r="C272" i="3"/>
  <c r="E272" i="3" s="1"/>
  <c r="B272" i="3"/>
  <c r="A272" i="3"/>
  <c r="M271" i="3"/>
  <c r="L271" i="3"/>
  <c r="K271" i="3"/>
  <c r="J271" i="3"/>
  <c r="I271" i="3"/>
  <c r="H271" i="3"/>
  <c r="G271" i="3"/>
  <c r="F271" i="3"/>
  <c r="C271" i="3"/>
  <c r="E271" i="3" s="1"/>
  <c r="B271" i="3"/>
  <c r="A271" i="3"/>
  <c r="M270" i="3"/>
  <c r="L270" i="3"/>
  <c r="K270" i="3"/>
  <c r="J270" i="3"/>
  <c r="I270" i="3"/>
  <c r="H270" i="3"/>
  <c r="G270" i="3"/>
  <c r="F270" i="3"/>
  <c r="E270" i="3"/>
  <c r="C270" i="3"/>
  <c r="D270" i="3" s="1"/>
  <c r="B270" i="3"/>
  <c r="A270" i="3"/>
  <c r="M269" i="3"/>
  <c r="L269" i="3"/>
  <c r="K269" i="3"/>
  <c r="J269" i="3"/>
  <c r="I269" i="3"/>
  <c r="H269" i="3"/>
  <c r="G269" i="3"/>
  <c r="F269" i="3"/>
  <c r="E269" i="3"/>
  <c r="D269" i="3"/>
  <c r="C269" i="3"/>
  <c r="B269" i="3"/>
  <c r="A269" i="3"/>
  <c r="M268" i="3"/>
  <c r="L268" i="3"/>
  <c r="K268" i="3"/>
  <c r="J268" i="3"/>
  <c r="I268" i="3"/>
  <c r="H268" i="3"/>
  <c r="G268" i="3"/>
  <c r="F268" i="3"/>
  <c r="E268" i="3"/>
  <c r="C268" i="3"/>
  <c r="D268" i="3" s="1"/>
  <c r="B268" i="3"/>
  <c r="A268" i="3"/>
  <c r="M267" i="3"/>
  <c r="L267" i="3"/>
  <c r="K267" i="3"/>
  <c r="J267" i="3"/>
  <c r="I267" i="3"/>
  <c r="H267" i="3"/>
  <c r="G267" i="3"/>
  <c r="F267" i="3"/>
  <c r="D267" i="3"/>
  <c r="C267" i="3"/>
  <c r="E267" i="3" s="1"/>
  <c r="B267" i="3"/>
  <c r="A267" i="3"/>
  <c r="M266" i="3"/>
  <c r="L266" i="3"/>
  <c r="K266" i="3"/>
  <c r="J266" i="3"/>
  <c r="I266" i="3"/>
  <c r="H266" i="3"/>
  <c r="G266" i="3"/>
  <c r="F266" i="3"/>
  <c r="C266" i="3"/>
  <c r="E266" i="3" s="1"/>
  <c r="B266" i="3"/>
  <c r="A266" i="3"/>
  <c r="M265" i="3"/>
  <c r="L265" i="3"/>
  <c r="K265" i="3"/>
  <c r="J265" i="3"/>
  <c r="I265" i="3"/>
  <c r="H265" i="3"/>
  <c r="G265" i="3"/>
  <c r="F265" i="3"/>
  <c r="E265" i="3"/>
  <c r="D265" i="3"/>
  <c r="C265" i="3"/>
  <c r="B265" i="3"/>
  <c r="A265" i="3"/>
  <c r="M264" i="3"/>
  <c r="L264" i="3"/>
  <c r="K264" i="3"/>
  <c r="J264" i="3"/>
  <c r="I264" i="3"/>
  <c r="H264" i="3"/>
  <c r="G264" i="3"/>
  <c r="F264" i="3"/>
  <c r="C264" i="3"/>
  <c r="E264" i="3" s="1"/>
  <c r="B264" i="3"/>
  <c r="A264" i="3"/>
  <c r="M263" i="3"/>
  <c r="L263" i="3"/>
  <c r="K263" i="3"/>
  <c r="J263" i="3"/>
  <c r="I263" i="3"/>
  <c r="H263" i="3"/>
  <c r="G263" i="3"/>
  <c r="F263" i="3"/>
  <c r="C263" i="3"/>
  <c r="D263" i="3" s="1"/>
  <c r="B263" i="3"/>
  <c r="A263" i="3"/>
  <c r="M262" i="3"/>
  <c r="L262" i="3"/>
  <c r="K262" i="3"/>
  <c r="J262" i="3"/>
  <c r="I262" i="3"/>
  <c r="H262" i="3"/>
  <c r="G262" i="3"/>
  <c r="F262" i="3"/>
  <c r="C262" i="3"/>
  <c r="E262" i="3" s="1"/>
  <c r="B262" i="3"/>
  <c r="A262" i="3"/>
  <c r="M261" i="3"/>
  <c r="L261" i="3"/>
  <c r="K261" i="3"/>
  <c r="J261" i="3"/>
  <c r="I261" i="3"/>
  <c r="H261" i="3"/>
  <c r="G261" i="3"/>
  <c r="F261" i="3"/>
  <c r="D261" i="3"/>
  <c r="C261" i="3"/>
  <c r="E261" i="3" s="1"/>
  <c r="B261" i="3"/>
  <c r="A261" i="3"/>
  <c r="M260" i="3"/>
  <c r="L260" i="3"/>
  <c r="K260" i="3"/>
  <c r="J260" i="3"/>
  <c r="I260" i="3"/>
  <c r="H260" i="3"/>
  <c r="G260" i="3"/>
  <c r="F260" i="3"/>
  <c r="E260" i="3"/>
  <c r="C260" i="3"/>
  <c r="D260" i="3" s="1"/>
  <c r="B260" i="3"/>
  <c r="A260" i="3"/>
  <c r="M259" i="3"/>
  <c r="L259" i="3"/>
  <c r="K259" i="3"/>
  <c r="J259" i="3"/>
  <c r="I259" i="3"/>
  <c r="H259" i="3"/>
  <c r="G259" i="3"/>
  <c r="F259" i="3"/>
  <c r="D259" i="3"/>
  <c r="C259" i="3"/>
  <c r="E259" i="3" s="1"/>
  <c r="B259" i="3"/>
  <c r="A259" i="3"/>
  <c r="M258" i="3"/>
  <c r="L258" i="3"/>
  <c r="K258" i="3"/>
  <c r="J258" i="3"/>
  <c r="I258" i="3"/>
  <c r="H258" i="3"/>
  <c r="G258" i="3"/>
  <c r="F258" i="3"/>
  <c r="E258" i="3"/>
  <c r="D258" i="3"/>
  <c r="C258" i="3"/>
  <c r="B258" i="3"/>
  <c r="A258" i="3"/>
  <c r="M257" i="3"/>
  <c r="L257" i="3"/>
  <c r="K257" i="3"/>
  <c r="J257" i="3"/>
  <c r="I257" i="3"/>
  <c r="H257" i="3"/>
  <c r="G257" i="3"/>
  <c r="F257" i="3"/>
  <c r="D257" i="3"/>
  <c r="C257" i="3"/>
  <c r="E257" i="3" s="1"/>
  <c r="B257" i="3"/>
  <c r="A257" i="3"/>
  <c r="M256" i="3"/>
  <c r="L256" i="3"/>
  <c r="K256" i="3"/>
  <c r="J256" i="3"/>
  <c r="I256" i="3"/>
  <c r="H256" i="3"/>
  <c r="G256" i="3"/>
  <c r="F256" i="3"/>
  <c r="C256" i="3"/>
  <c r="E256" i="3" s="1"/>
  <c r="B256" i="3"/>
  <c r="A256" i="3"/>
  <c r="M255" i="3"/>
  <c r="L255" i="3"/>
  <c r="K255" i="3"/>
  <c r="J255" i="3"/>
  <c r="I255" i="3"/>
  <c r="H255" i="3"/>
  <c r="G255" i="3"/>
  <c r="F255" i="3"/>
  <c r="C255" i="3"/>
  <c r="E255" i="3" s="1"/>
  <c r="B255" i="3"/>
  <c r="A255" i="3"/>
  <c r="M254" i="3"/>
  <c r="L254" i="3"/>
  <c r="K254" i="3"/>
  <c r="J254" i="3"/>
  <c r="I254" i="3"/>
  <c r="H254" i="3"/>
  <c r="G254" i="3"/>
  <c r="F254" i="3"/>
  <c r="E254" i="3"/>
  <c r="C254" i="3"/>
  <c r="D254" i="3" s="1"/>
  <c r="B254" i="3"/>
  <c r="A254" i="3"/>
  <c r="M253" i="3"/>
  <c r="L253" i="3"/>
  <c r="K253" i="3"/>
  <c r="J253" i="3"/>
  <c r="I253" i="3"/>
  <c r="H253" i="3"/>
  <c r="G253" i="3"/>
  <c r="F253" i="3"/>
  <c r="E253" i="3"/>
  <c r="D253" i="3"/>
  <c r="C253" i="3"/>
  <c r="B253" i="3"/>
  <c r="A253" i="3"/>
  <c r="M252" i="3"/>
  <c r="L252" i="3"/>
  <c r="K252" i="3"/>
  <c r="J252" i="3"/>
  <c r="I252" i="3"/>
  <c r="H252" i="3"/>
  <c r="G252" i="3"/>
  <c r="F252" i="3"/>
  <c r="E252" i="3"/>
  <c r="C252" i="3"/>
  <c r="D252" i="3" s="1"/>
  <c r="B252" i="3"/>
  <c r="A252" i="3"/>
  <c r="M251" i="3"/>
  <c r="L251" i="3"/>
  <c r="K251" i="3"/>
  <c r="J251" i="3"/>
  <c r="I251" i="3"/>
  <c r="H251" i="3"/>
  <c r="G251" i="3"/>
  <c r="F251" i="3"/>
  <c r="D251" i="3"/>
  <c r="C251" i="3"/>
  <c r="E251" i="3" s="1"/>
  <c r="B251" i="3"/>
  <c r="A251" i="3"/>
  <c r="M250" i="3"/>
  <c r="L250" i="3"/>
  <c r="K250" i="3"/>
  <c r="J250" i="3"/>
  <c r="I250" i="3"/>
  <c r="H250" i="3"/>
  <c r="G250" i="3"/>
  <c r="F250" i="3"/>
  <c r="C250" i="3"/>
  <c r="E250" i="3" s="1"/>
  <c r="B250" i="3"/>
  <c r="A250" i="3"/>
  <c r="M249" i="3"/>
  <c r="L249" i="3"/>
  <c r="K249" i="3"/>
  <c r="J249" i="3"/>
  <c r="I249" i="3"/>
  <c r="H249" i="3"/>
  <c r="G249" i="3"/>
  <c r="F249" i="3"/>
  <c r="E249" i="3"/>
  <c r="D249" i="3"/>
  <c r="C249" i="3"/>
  <c r="B249" i="3"/>
  <c r="A249" i="3"/>
  <c r="M248" i="3"/>
  <c r="L248" i="3"/>
  <c r="K248" i="3"/>
  <c r="J248" i="3"/>
  <c r="I248" i="3"/>
  <c r="H248" i="3"/>
  <c r="G248" i="3"/>
  <c r="F248" i="3"/>
  <c r="C248" i="3"/>
  <c r="E248" i="3" s="1"/>
  <c r="B248" i="3"/>
  <c r="A248" i="3"/>
  <c r="M247" i="3"/>
  <c r="L247" i="3"/>
  <c r="K247" i="3"/>
  <c r="J247" i="3"/>
  <c r="I247" i="3"/>
  <c r="H247" i="3"/>
  <c r="G247" i="3"/>
  <c r="F247" i="3"/>
  <c r="C247" i="3"/>
  <c r="D247" i="3" s="1"/>
  <c r="B247" i="3"/>
  <c r="A247" i="3"/>
  <c r="M246" i="3"/>
  <c r="L246" i="3"/>
  <c r="K246" i="3"/>
  <c r="J246" i="3"/>
  <c r="I246" i="3"/>
  <c r="H246" i="3"/>
  <c r="G246" i="3"/>
  <c r="F246" i="3"/>
  <c r="C246" i="3"/>
  <c r="E246" i="3" s="1"/>
  <c r="B246" i="3"/>
  <c r="A246" i="3"/>
  <c r="M245" i="3"/>
  <c r="L245" i="3"/>
  <c r="K245" i="3"/>
  <c r="J245" i="3"/>
  <c r="I245" i="3"/>
  <c r="H245" i="3"/>
  <c r="G245" i="3"/>
  <c r="F245" i="3"/>
  <c r="D245" i="3"/>
  <c r="C245" i="3"/>
  <c r="E245" i="3" s="1"/>
  <c r="B245" i="3"/>
  <c r="A245" i="3"/>
  <c r="M244" i="3"/>
  <c r="L244" i="3"/>
  <c r="K244" i="3"/>
  <c r="J244" i="3"/>
  <c r="I244" i="3"/>
  <c r="H244" i="3"/>
  <c r="G244" i="3"/>
  <c r="F244" i="3"/>
  <c r="E244" i="3"/>
  <c r="C244" i="3"/>
  <c r="D244" i="3" s="1"/>
  <c r="B244" i="3"/>
  <c r="A244" i="3"/>
  <c r="M243" i="3"/>
  <c r="L243" i="3"/>
  <c r="K243" i="3"/>
  <c r="J243" i="3"/>
  <c r="I243" i="3"/>
  <c r="H243" i="3"/>
  <c r="G243" i="3"/>
  <c r="F243" i="3"/>
  <c r="D243" i="3"/>
  <c r="C243" i="3"/>
  <c r="E243" i="3" s="1"/>
  <c r="B243" i="3"/>
  <c r="A243" i="3"/>
  <c r="M242" i="3"/>
  <c r="L242" i="3"/>
  <c r="K242" i="3"/>
  <c r="J242" i="3"/>
  <c r="I242" i="3"/>
  <c r="H242" i="3"/>
  <c r="G242" i="3"/>
  <c r="F242" i="3"/>
  <c r="E242" i="3"/>
  <c r="D242" i="3"/>
  <c r="C242" i="3"/>
  <c r="B242" i="3"/>
  <c r="A242" i="3"/>
  <c r="M241" i="3"/>
  <c r="L241" i="3"/>
  <c r="K241" i="3"/>
  <c r="J241" i="3"/>
  <c r="I241" i="3"/>
  <c r="H241" i="3"/>
  <c r="G241" i="3"/>
  <c r="F241" i="3"/>
  <c r="D241" i="3"/>
  <c r="C241" i="3"/>
  <c r="E241" i="3" s="1"/>
  <c r="B241" i="3"/>
  <c r="A241" i="3"/>
  <c r="M240" i="3"/>
  <c r="L240" i="3"/>
  <c r="K240" i="3"/>
  <c r="J240" i="3"/>
  <c r="I240" i="3"/>
  <c r="H240" i="3"/>
  <c r="G240" i="3"/>
  <c r="F240" i="3"/>
  <c r="C240" i="3"/>
  <c r="E240" i="3" s="1"/>
  <c r="B240" i="3"/>
  <c r="A240" i="3"/>
  <c r="M239" i="3"/>
  <c r="L239" i="3"/>
  <c r="K239" i="3"/>
  <c r="J239" i="3"/>
  <c r="I239" i="3"/>
  <c r="H239" i="3"/>
  <c r="G239" i="3"/>
  <c r="F239" i="3"/>
  <c r="C239" i="3"/>
  <c r="E239" i="3" s="1"/>
  <c r="B239" i="3"/>
  <c r="A239" i="3"/>
  <c r="M238" i="3"/>
  <c r="L238" i="3"/>
  <c r="K238" i="3"/>
  <c r="J238" i="3"/>
  <c r="I238" i="3"/>
  <c r="H238" i="3"/>
  <c r="G238" i="3"/>
  <c r="F238" i="3"/>
  <c r="E238" i="3"/>
  <c r="C238" i="3"/>
  <c r="D238" i="3" s="1"/>
  <c r="B238" i="3"/>
  <c r="A238" i="3"/>
  <c r="M237" i="3"/>
  <c r="L237" i="3"/>
  <c r="K237" i="3"/>
  <c r="J237" i="3"/>
  <c r="I237" i="3"/>
  <c r="H237" i="3"/>
  <c r="G237" i="3"/>
  <c r="F237" i="3"/>
  <c r="E237" i="3"/>
  <c r="D237" i="3"/>
  <c r="C237" i="3"/>
  <c r="B237" i="3"/>
  <c r="A237" i="3"/>
  <c r="M236" i="3"/>
  <c r="L236" i="3"/>
  <c r="K236" i="3"/>
  <c r="J236" i="3"/>
  <c r="I236" i="3"/>
  <c r="H236" i="3"/>
  <c r="G236" i="3"/>
  <c r="F236" i="3"/>
  <c r="E236" i="3"/>
  <c r="C236" i="3"/>
  <c r="D236" i="3" s="1"/>
  <c r="B236" i="3"/>
  <c r="A236" i="3"/>
  <c r="M235" i="3"/>
  <c r="L235" i="3"/>
  <c r="K235" i="3"/>
  <c r="J235" i="3"/>
  <c r="I235" i="3"/>
  <c r="H235" i="3"/>
  <c r="G235" i="3"/>
  <c r="F235" i="3"/>
  <c r="D235" i="3"/>
  <c r="C235" i="3"/>
  <c r="E235" i="3" s="1"/>
  <c r="B235" i="3"/>
  <c r="A235" i="3"/>
  <c r="M234" i="3"/>
  <c r="L234" i="3"/>
  <c r="K234" i="3"/>
  <c r="J234" i="3"/>
  <c r="I234" i="3"/>
  <c r="H234" i="3"/>
  <c r="G234" i="3"/>
  <c r="F234" i="3"/>
  <c r="C234" i="3"/>
  <c r="E234" i="3" s="1"/>
  <c r="B234" i="3"/>
  <c r="A234" i="3"/>
  <c r="M233" i="3"/>
  <c r="L233" i="3"/>
  <c r="K233" i="3"/>
  <c r="J233" i="3"/>
  <c r="I233" i="3"/>
  <c r="H233" i="3"/>
  <c r="G233" i="3"/>
  <c r="F233" i="3"/>
  <c r="E233" i="3"/>
  <c r="D233" i="3"/>
  <c r="C233" i="3"/>
  <c r="B233" i="3"/>
  <c r="A233" i="3"/>
  <c r="M232" i="3"/>
  <c r="L232" i="3"/>
  <c r="K232" i="3"/>
  <c r="J232" i="3"/>
  <c r="I232" i="3"/>
  <c r="H232" i="3"/>
  <c r="G232" i="3"/>
  <c r="F232" i="3"/>
  <c r="C232" i="3"/>
  <c r="E232" i="3" s="1"/>
  <c r="B232" i="3"/>
  <c r="A232" i="3"/>
  <c r="M231" i="3"/>
  <c r="L231" i="3"/>
  <c r="K231" i="3"/>
  <c r="J231" i="3"/>
  <c r="I231" i="3"/>
  <c r="H231" i="3"/>
  <c r="G231" i="3"/>
  <c r="F231" i="3"/>
  <c r="C231" i="3"/>
  <c r="D231" i="3" s="1"/>
  <c r="B231" i="3"/>
  <c r="A231" i="3"/>
  <c r="M230" i="3"/>
  <c r="L230" i="3"/>
  <c r="K230" i="3"/>
  <c r="J230" i="3"/>
  <c r="I230" i="3"/>
  <c r="H230" i="3"/>
  <c r="G230" i="3"/>
  <c r="F230" i="3"/>
  <c r="C230" i="3"/>
  <c r="E230" i="3" s="1"/>
  <c r="B230" i="3"/>
  <c r="A230" i="3"/>
  <c r="M229" i="3"/>
  <c r="L229" i="3"/>
  <c r="K229" i="3"/>
  <c r="J229" i="3"/>
  <c r="I229" i="3"/>
  <c r="H229" i="3"/>
  <c r="G229" i="3"/>
  <c r="F229" i="3"/>
  <c r="D229" i="3"/>
  <c r="C229" i="3"/>
  <c r="E229" i="3" s="1"/>
  <c r="B229" i="3"/>
  <c r="A229" i="3"/>
  <c r="M228" i="3"/>
  <c r="L228" i="3"/>
  <c r="K228" i="3"/>
  <c r="J228" i="3"/>
  <c r="I228" i="3"/>
  <c r="H228" i="3"/>
  <c r="G228" i="3"/>
  <c r="F228" i="3"/>
  <c r="E228" i="3"/>
  <c r="C228" i="3"/>
  <c r="D228" i="3" s="1"/>
  <c r="B228" i="3"/>
  <c r="A228" i="3"/>
  <c r="M227" i="3"/>
  <c r="L227" i="3"/>
  <c r="K227" i="3"/>
  <c r="J227" i="3"/>
  <c r="I227" i="3"/>
  <c r="H227" i="3"/>
  <c r="G227" i="3"/>
  <c r="F227" i="3"/>
  <c r="D227" i="3"/>
  <c r="C227" i="3"/>
  <c r="E227" i="3" s="1"/>
  <c r="B227" i="3"/>
  <c r="A227" i="3"/>
  <c r="M226" i="3"/>
  <c r="L226" i="3"/>
  <c r="K226" i="3"/>
  <c r="J226" i="3"/>
  <c r="I226" i="3"/>
  <c r="H226" i="3"/>
  <c r="G226" i="3"/>
  <c r="F226" i="3"/>
  <c r="E226" i="3"/>
  <c r="D226" i="3"/>
  <c r="C226" i="3"/>
  <c r="B226" i="3"/>
  <c r="A226" i="3"/>
  <c r="M225" i="3"/>
  <c r="L225" i="3"/>
  <c r="K225" i="3"/>
  <c r="J225" i="3"/>
  <c r="I225" i="3"/>
  <c r="H225" i="3"/>
  <c r="G225" i="3"/>
  <c r="F225" i="3"/>
  <c r="D225" i="3"/>
  <c r="C225" i="3"/>
  <c r="E225" i="3" s="1"/>
  <c r="B225" i="3"/>
  <c r="A225" i="3"/>
  <c r="M224" i="3"/>
  <c r="L224" i="3"/>
  <c r="K224" i="3"/>
  <c r="J224" i="3"/>
  <c r="I224" i="3"/>
  <c r="H224" i="3"/>
  <c r="G224" i="3"/>
  <c r="F224" i="3"/>
  <c r="C224" i="3"/>
  <c r="E224" i="3" s="1"/>
  <c r="B224" i="3"/>
  <c r="A224" i="3"/>
  <c r="M223" i="3"/>
  <c r="L223" i="3"/>
  <c r="K223" i="3"/>
  <c r="J223" i="3"/>
  <c r="I223" i="3"/>
  <c r="H223" i="3"/>
  <c r="G223" i="3"/>
  <c r="F223" i="3"/>
  <c r="C223" i="3"/>
  <c r="E223" i="3" s="1"/>
  <c r="B223" i="3"/>
  <c r="A223" i="3"/>
  <c r="M222" i="3"/>
  <c r="L222" i="3"/>
  <c r="K222" i="3"/>
  <c r="J222" i="3"/>
  <c r="I222" i="3"/>
  <c r="H222" i="3"/>
  <c r="G222" i="3"/>
  <c r="F222" i="3"/>
  <c r="E222" i="3"/>
  <c r="C222" i="3"/>
  <c r="D222" i="3" s="1"/>
  <c r="B222" i="3"/>
  <c r="A222" i="3"/>
  <c r="M221" i="3"/>
  <c r="L221" i="3"/>
  <c r="K221" i="3"/>
  <c r="J221" i="3"/>
  <c r="I221" i="3"/>
  <c r="H221" i="3"/>
  <c r="G221" i="3"/>
  <c r="F221" i="3"/>
  <c r="E221" i="3"/>
  <c r="D221" i="3"/>
  <c r="C221" i="3"/>
  <c r="B221" i="3"/>
  <c r="A221" i="3"/>
  <c r="M220" i="3"/>
  <c r="L220" i="3"/>
  <c r="K220" i="3"/>
  <c r="J220" i="3"/>
  <c r="I220" i="3"/>
  <c r="H220" i="3"/>
  <c r="G220" i="3"/>
  <c r="F220" i="3"/>
  <c r="E220" i="3"/>
  <c r="C220" i="3"/>
  <c r="D220" i="3" s="1"/>
  <c r="B220" i="3"/>
  <c r="A220" i="3"/>
  <c r="M219" i="3"/>
  <c r="L219" i="3"/>
  <c r="K219" i="3"/>
  <c r="J219" i="3"/>
  <c r="I219" i="3"/>
  <c r="H219" i="3"/>
  <c r="G219" i="3"/>
  <c r="F219" i="3"/>
  <c r="D219" i="3"/>
  <c r="C219" i="3"/>
  <c r="E219" i="3" s="1"/>
  <c r="B219" i="3"/>
  <c r="A219" i="3"/>
  <c r="M218" i="3"/>
  <c r="L218" i="3"/>
  <c r="K218" i="3"/>
  <c r="J218" i="3"/>
  <c r="I218" i="3"/>
  <c r="H218" i="3"/>
  <c r="G218" i="3"/>
  <c r="F218" i="3"/>
  <c r="C218" i="3"/>
  <c r="E218" i="3" s="1"/>
  <c r="B218" i="3"/>
  <c r="A218" i="3"/>
  <c r="M217" i="3"/>
  <c r="L217" i="3"/>
  <c r="K217" i="3"/>
  <c r="J217" i="3"/>
  <c r="I217" i="3"/>
  <c r="H217" i="3"/>
  <c r="G217" i="3"/>
  <c r="F217" i="3"/>
  <c r="E217" i="3"/>
  <c r="D217" i="3"/>
  <c r="C217" i="3"/>
  <c r="B217" i="3"/>
  <c r="A217" i="3"/>
  <c r="M216" i="3"/>
  <c r="L216" i="3"/>
  <c r="K216" i="3"/>
  <c r="J216" i="3"/>
  <c r="I216" i="3"/>
  <c r="H216" i="3"/>
  <c r="G216" i="3"/>
  <c r="F216" i="3"/>
  <c r="C216" i="3"/>
  <c r="E216" i="3" s="1"/>
  <c r="B216" i="3"/>
  <c r="A216" i="3"/>
  <c r="M215" i="3"/>
  <c r="L215" i="3"/>
  <c r="K215" i="3"/>
  <c r="J215" i="3"/>
  <c r="I215" i="3"/>
  <c r="H215" i="3"/>
  <c r="G215" i="3"/>
  <c r="F215" i="3"/>
  <c r="C215" i="3"/>
  <c r="D215" i="3" s="1"/>
  <c r="B215" i="3"/>
  <c r="A215" i="3"/>
  <c r="M214" i="3"/>
  <c r="L214" i="3"/>
  <c r="K214" i="3"/>
  <c r="J214" i="3"/>
  <c r="I214" i="3"/>
  <c r="H214" i="3"/>
  <c r="G214" i="3"/>
  <c r="F214" i="3"/>
  <c r="C214" i="3"/>
  <c r="E214" i="3" s="1"/>
  <c r="B214" i="3"/>
  <c r="A214" i="3"/>
  <c r="M213" i="3"/>
  <c r="L213" i="3"/>
  <c r="K213" i="3"/>
  <c r="J213" i="3"/>
  <c r="I213" i="3"/>
  <c r="H213" i="3"/>
  <c r="G213" i="3"/>
  <c r="F213" i="3"/>
  <c r="D213" i="3"/>
  <c r="C213" i="3"/>
  <c r="E213" i="3" s="1"/>
  <c r="B213" i="3"/>
  <c r="A213" i="3"/>
  <c r="M212" i="3"/>
  <c r="L212" i="3"/>
  <c r="K212" i="3"/>
  <c r="J212" i="3"/>
  <c r="I212" i="3"/>
  <c r="H212" i="3"/>
  <c r="G212" i="3"/>
  <c r="F212" i="3"/>
  <c r="E212" i="3"/>
  <c r="C212" i="3"/>
  <c r="D212" i="3" s="1"/>
  <c r="B212" i="3"/>
  <c r="A212" i="3"/>
  <c r="M211" i="3"/>
  <c r="L211" i="3"/>
  <c r="K211" i="3"/>
  <c r="J211" i="3"/>
  <c r="I211" i="3"/>
  <c r="H211" i="3"/>
  <c r="G211" i="3"/>
  <c r="F211" i="3"/>
  <c r="D211" i="3"/>
  <c r="C211" i="3"/>
  <c r="E211" i="3" s="1"/>
  <c r="B211" i="3"/>
  <c r="A211" i="3"/>
  <c r="M210" i="3"/>
  <c r="L210" i="3"/>
  <c r="K210" i="3"/>
  <c r="J210" i="3"/>
  <c r="I210" i="3"/>
  <c r="H210" i="3"/>
  <c r="G210" i="3"/>
  <c r="F210" i="3"/>
  <c r="E210" i="3"/>
  <c r="D210" i="3"/>
  <c r="C210" i="3"/>
  <c r="B210" i="3"/>
  <c r="A210" i="3"/>
  <c r="M209" i="3"/>
  <c r="L209" i="3"/>
  <c r="K209" i="3"/>
  <c r="J209" i="3"/>
  <c r="I209" i="3"/>
  <c r="H209" i="3"/>
  <c r="G209" i="3"/>
  <c r="F209" i="3"/>
  <c r="D209" i="3"/>
  <c r="C209" i="3"/>
  <c r="E209" i="3" s="1"/>
  <c r="B209" i="3"/>
  <c r="A209" i="3"/>
  <c r="M208" i="3"/>
  <c r="L208" i="3"/>
  <c r="K208" i="3"/>
  <c r="J208" i="3"/>
  <c r="I208" i="3"/>
  <c r="H208" i="3"/>
  <c r="G208" i="3"/>
  <c r="F208" i="3"/>
  <c r="C208" i="3"/>
  <c r="E208" i="3" s="1"/>
  <c r="B208" i="3"/>
  <c r="A208" i="3"/>
  <c r="M207" i="3"/>
  <c r="L207" i="3"/>
  <c r="K207" i="3"/>
  <c r="J207" i="3"/>
  <c r="I207" i="3"/>
  <c r="H207" i="3"/>
  <c r="G207" i="3"/>
  <c r="F207" i="3"/>
  <c r="C207" i="3"/>
  <c r="E207" i="3" s="1"/>
  <c r="B207" i="3"/>
  <c r="A207" i="3"/>
  <c r="M206" i="3"/>
  <c r="L206" i="3"/>
  <c r="K206" i="3"/>
  <c r="J206" i="3"/>
  <c r="I206" i="3"/>
  <c r="H206" i="3"/>
  <c r="G206" i="3"/>
  <c r="F206" i="3"/>
  <c r="E206" i="3"/>
  <c r="C206" i="3"/>
  <c r="D206" i="3" s="1"/>
  <c r="B206" i="3"/>
  <c r="A206" i="3"/>
  <c r="M205" i="3"/>
  <c r="L205" i="3"/>
  <c r="K205" i="3"/>
  <c r="J205" i="3"/>
  <c r="I205" i="3"/>
  <c r="H205" i="3"/>
  <c r="G205" i="3"/>
  <c r="F205" i="3"/>
  <c r="E205" i="3"/>
  <c r="D205" i="3"/>
  <c r="C205" i="3"/>
  <c r="B205" i="3"/>
  <c r="A205" i="3"/>
  <c r="M204" i="3"/>
  <c r="L204" i="3"/>
  <c r="K204" i="3"/>
  <c r="J204" i="3"/>
  <c r="I204" i="3"/>
  <c r="H204" i="3"/>
  <c r="G204" i="3"/>
  <c r="F204" i="3"/>
  <c r="E204" i="3"/>
  <c r="C204" i="3"/>
  <c r="D204" i="3" s="1"/>
  <c r="B204" i="3"/>
  <c r="A204" i="3"/>
  <c r="M203" i="3"/>
  <c r="L203" i="3"/>
  <c r="K203" i="3"/>
  <c r="J203" i="3"/>
  <c r="I203" i="3"/>
  <c r="H203" i="3"/>
  <c r="G203" i="3"/>
  <c r="F203" i="3"/>
  <c r="D203" i="3"/>
  <c r="C203" i="3"/>
  <c r="E203" i="3" s="1"/>
  <c r="B203" i="3"/>
  <c r="A203" i="3"/>
  <c r="M202" i="3"/>
  <c r="L202" i="3"/>
  <c r="K202" i="3"/>
  <c r="J202" i="3"/>
  <c r="I202" i="3"/>
  <c r="H202" i="3"/>
  <c r="G202" i="3"/>
  <c r="F202" i="3"/>
  <c r="C202" i="3"/>
  <c r="E202" i="3" s="1"/>
  <c r="B202" i="3"/>
  <c r="A202" i="3"/>
  <c r="M201" i="3"/>
  <c r="L201" i="3"/>
  <c r="K201" i="3"/>
  <c r="J201" i="3"/>
  <c r="I201" i="3"/>
  <c r="H201" i="3"/>
  <c r="G201" i="3"/>
  <c r="F201" i="3"/>
  <c r="E201" i="3"/>
  <c r="D201" i="3"/>
  <c r="C201" i="3"/>
  <c r="B201" i="3"/>
  <c r="A201" i="3"/>
  <c r="M200" i="3"/>
  <c r="L200" i="3"/>
  <c r="K200" i="3"/>
  <c r="J200" i="3"/>
  <c r="I200" i="3"/>
  <c r="H200" i="3"/>
  <c r="G200" i="3"/>
  <c r="F200" i="3"/>
  <c r="C200" i="3"/>
  <c r="E200" i="3" s="1"/>
  <c r="B200" i="3"/>
  <c r="A200" i="3"/>
  <c r="M199" i="3"/>
  <c r="L199" i="3"/>
  <c r="K199" i="3"/>
  <c r="J199" i="3"/>
  <c r="I199" i="3"/>
  <c r="H199" i="3"/>
  <c r="G199" i="3"/>
  <c r="F199" i="3"/>
  <c r="C199" i="3"/>
  <c r="D199" i="3" s="1"/>
  <c r="B199" i="3"/>
  <c r="A199" i="3"/>
  <c r="M198" i="3"/>
  <c r="L198" i="3"/>
  <c r="K198" i="3"/>
  <c r="J198" i="3"/>
  <c r="I198" i="3"/>
  <c r="H198" i="3"/>
  <c r="G198" i="3"/>
  <c r="F198" i="3"/>
  <c r="C198" i="3"/>
  <c r="E198" i="3" s="1"/>
  <c r="B198" i="3"/>
  <c r="A198" i="3"/>
  <c r="M197" i="3"/>
  <c r="L197" i="3"/>
  <c r="K197" i="3"/>
  <c r="J197" i="3"/>
  <c r="I197" i="3"/>
  <c r="H197" i="3"/>
  <c r="G197" i="3"/>
  <c r="F197" i="3"/>
  <c r="D197" i="3"/>
  <c r="C197" i="3"/>
  <c r="E197" i="3" s="1"/>
  <c r="B197" i="3"/>
  <c r="A197" i="3"/>
  <c r="M196" i="3"/>
  <c r="L196" i="3"/>
  <c r="K196" i="3"/>
  <c r="J196" i="3"/>
  <c r="I196" i="3"/>
  <c r="H196" i="3"/>
  <c r="G196" i="3"/>
  <c r="F196" i="3"/>
  <c r="E196" i="3"/>
  <c r="C196" i="3"/>
  <c r="D196" i="3" s="1"/>
  <c r="B196" i="3"/>
  <c r="A196" i="3"/>
  <c r="M195" i="3"/>
  <c r="L195" i="3"/>
  <c r="K195" i="3"/>
  <c r="J195" i="3"/>
  <c r="I195" i="3"/>
  <c r="H195" i="3"/>
  <c r="G195" i="3"/>
  <c r="F195" i="3"/>
  <c r="E195" i="3"/>
  <c r="D195" i="3"/>
  <c r="C195" i="3"/>
  <c r="B195" i="3"/>
  <c r="A195" i="3"/>
  <c r="M194" i="3"/>
  <c r="L194" i="3"/>
  <c r="K194" i="3"/>
  <c r="J194" i="3"/>
  <c r="I194" i="3"/>
  <c r="H194" i="3"/>
  <c r="G194" i="3"/>
  <c r="F194" i="3"/>
  <c r="E194" i="3"/>
  <c r="D194" i="3"/>
  <c r="C194" i="3"/>
  <c r="B194" i="3"/>
  <c r="A194" i="3"/>
  <c r="M193" i="3"/>
  <c r="L193" i="3"/>
  <c r="K193" i="3"/>
  <c r="J193" i="3"/>
  <c r="I193" i="3"/>
  <c r="H193" i="3"/>
  <c r="G193" i="3"/>
  <c r="F193" i="3"/>
  <c r="D193" i="3"/>
  <c r="C193" i="3"/>
  <c r="E193" i="3" s="1"/>
  <c r="B193" i="3"/>
  <c r="A193" i="3"/>
  <c r="M192" i="3"/>
  <c r="L192" i="3"/>
  <c r="K192" i="3"/>
  <c r="J192" i="3"/>
  <c r="I192" i="3"/>
  <c r="H192" i="3"/>
  <c r="G192" i="3"/>
  <c r="F192" i="3"/>
  <c r="C192" i="3"/>
  <c r="E192" i="3" s="1"/>
  <c r="B192" i="3"/>
  <c r="A192" i="3"/>
  <c r="M191" i="3"/>
  <c r="L191" i="3"/>
  <c r="K191" i="3"/>
  <c r="J191" i="3"/>
  <c r="I191" i="3"/>
  <c r="H191" i="3"/>
  <c r="G191" i="3"/>
  <c r="F191" i="3"/>
  <c r="C191" i="3"/>
  <c r="E191" i="3" s="1"/>
  <c r="B191" i="3"/>
  <c r="A191" i="3"/>
  <c r="M190" i="3"/>
  <c r="L190" i="3"/>
  <c r="K190" i="3"/>
  <c r="J190" i="3"/>
  <c r="I190" i="3"/>
  <c r="H190" i="3"/>
  <c r="G190" i="3"/>
  <c r="F190" i="3"/>
  <c r="E190" i="3"/>
  <c r="C190" i="3"/>
  <c r="D190" i="3" s="1"/>
  <c r="B190" i="3"/>
  <c r="A190" i="3"/>
  <c r="M189" i="3"/>
  <c r="L189" i="3"/>
  <c r="K189" i="3"/>
  <c r="J189" i="3"/>
  <c r="I189" i="3"/>
  <c r="H189" i="3"/>
  <c r="G189" i="3"/>
  <c r="F189" i="3"/>
  <c r="E189" i="3"/>
  <c r="D189" i="3"/>
  <c r="C189" i="3"/>
  <c r="B189" i="3"/>
  <c r="A189" i="3"/>
  <c r="M188" i="3"/>
  <c r="L188" i="3"/>
  <c r="K188" i="3"/>
  <c r="J188" i="3"/>
  <c r="I188" i="3"/>
  <c r="H188" i="3"/>
  <c r="G188" i="3"/>
  <c r="F188" i="3"/>
  <c r="E188" i="3"/>
  <c r="C188" i="3"/>
  <c r="D188" i="3" s="1"/>
  <c r="B188" i="3"/>
  <c r="A188" i="3"/>
  <c r="M187" i="3"/>
  <c r="L187" i="3"/>
  <c r="K187" i="3"/>
  <c r="J187" i="3"/>
  <c r="I187" i="3"/>
  <c r="H187" i="3"/>
  <c r="G187" i="3"/>
  <c r="F187" i="3"/>
  <c r="D187" i="3"/>
  <c r="C187" i="3"/>
  <c r="E187" i="3" s="1"/>
  <c r="B187" i="3"/>
  <c r="A187" i="3"/>
  <c r="M186" i="3"/>
  <c r="L186" i="3"/>
  <c r="K186" i="3"/>
  <c r="J186" i="3"/>
  <c r="I186" i="3"/>
  <c r="H186" i="3"/>
  <c r="G186" i="3"/>
  <c r="F186" i="3"/>
  <c r="C186" i="3"/>
  <c r="E186" i="3" s="1"/>
  <c r="B186" i="3"/>
  <c r="A186" i="3"/>
  <c r="M185" i="3"/>
  <c r="L185" i="3"/>
  <c r="K185" i="3"/>
  <c r="J185" i="3"/>
  <c r="I185" i="3"/>
  <c r="H185" i="3"/>
  <c r="G185" i="3"/>
  <c r="F185" i="3"/>
  <c r="E185" i="3"/>
  <c r="D185" i="3"/>
  <c r="C185" i="3"/>
  <c r="B185" i="3"/>
  <c r="A185" i="3"/>
  <c r="M184" i="3"/>
  <c r="L184" i="3"/>
  <c r="K184" i="3"/>
  <c r="J184" i="3"/>
  <c r="I184" i="3"/>
  <c r="H184" i="3"/>
  <c r="G184" i="3"/>
  <c r="F184" i="3"/>
  <c r="C184" i="3"/>
  <c r="E184" i="3" s="1"/>
  <c r="B184" i="3"/>
  <c r="A184" i="3"/>
  <c r="M183" i="3"/>
  <c r="L183" i="3"/>
  <c r="K183" i="3"/>
  <c r="J183" i="3"/>
  <c r="I183" i="3"/>
  <c r="H183" i="3"/>
  <c r="G183" i="3"/>
  <c r="F183" i="3"/>
  <c r="C183" i="3"/>
  <c r="D183" i="3" s="1"/>
  <c r="B183" i="3"/>
  <c r="A183" i="3"/>
  <c r="M182" i="3"/>
  <c r="L182" i="3"/>
  <c r="K182" i="3"/>
  <c r="J182" i="3"/>
  <c r="I182" i="3"/>
  <c r="H182" i="3"/>
  <c r="G182" i="3"/>
  <c r="F182" i="3"/>
  <c r="C182" i="3"/>
  <c r="E182" i="3" s="1"/>
  <c r="B182" i="3"/>
  <c r="A182" i="3"/>
  <c r="M181" i="3"/>
  <c r="L181" i="3"/>
  <c r="K181" i="3"/>
  <c r="J181" i="3"/>
  <c r="I181" i="3"/>
  <c r="H181" i="3"/>
  <c r="G181" i="3"/>
  <c r="F181" i="3"/>
  <c r="D181" i="3"/>
  <c r="C181" i="3"/>
  <c r="E181" i="3" s="1"/>
  <c r="B181" i="3"/>
  <c r="A181" i="3"/>
  <c r="M180" i="3"/>
  <c r="L180" i="3"/>
  <c r="K180" i="3"/>
  <c r="J180" i="3"/>
  <c r="I180" i="3"/>
  <c r="H180" i="3"/>
  <c r="G180" i="3"/>
  <c r="F180" i="3"/>
  <c r="E180" i="3"/>
  <c r="C180" i="3"/>
  <c r="D180" i="3" s="1"/>
  <c r="B180" i="3"/>
  <c r="A180" i="3"/>
  <c r="M179" i="3"/>
  <c r="L179" i="3"/>
  <c r="K179" i="3"/>
  <c r="J179" i="3"/>
  <c r="I179" i="3"/>
  <c r="H179" i="3"/>
  <c r="G179" i="3"/>
  <c r="F179" i="3"/>
  <c r="E179" i="3"/>
  <c r="D179" i="3"/>
  <c r="C179" i="3"/>
  <c r="B179" i="3"/>
  <c r="A179" i="3"/>
  <c r="M178" i="3"/>
  <c r="L178" i="3"/>
  <c r="K178" i="3"/>
  <c r="J178" i="3"/>
  <c r="I178" i="3"/>
  <c r="H178" i="3"/>
  <c r="G178" i="3"/>
  <c r="F178" i="3"/>
  <c r="E178" i="3"/>
  <c r="D178" i="3"/>
  <c r="C178" i="3"/>
  <c r="B178" i="3"/>
  <c r="A178" i="3"/>
  <c r="M177" i="3"/>
  <c r="L177" i="3"/>
  <c r="K177" i="3"/>
  <c r="J177" i="3"/>
  <c r="I177" i="3"/>
  <c r="H177" i="3"/>
  <c r="G177" i="3"/>
  <c r="F177" i="3"/>
  <c r="D177" i="3"/>
  <c r="C177" i="3"/>
  <c r="E177" i="3" s="1"/>
  <c r="B177" i="3"/>
  <c r="A177" i="3"/>
  <c r="M176" i="3"/>
  <c r="L176" i="3"/>
  <c r="K176" i="3"/>
  <c r="J176" i="3"/>
  <c r="I176" i="3"/>
  <c r="H176" i="3"/>
  <c r="G176" i="3"/>
  <c r="F176" i="3"/>
  <c r="C176" i="3"/>
  <c r="E176" i="3" s="1"/>
  <c r="B176" i="3"/>
  <c r="A176" i="3"/>
  <c r="M175" i="3"/>
  <c r="L175" i="3"/>
  <c r="K175" i="3"/>
  <c r="J175" i="3"/>
  <c r="I175" i="3"/>
  <c r="H175" i="3"/>
  <c r="G175" i="3"/>
  <c r="F175" i="3"/>
  <c r="C175" i="3"/>
  <c r="E175" i="3" s="1"/>
  <c r="B175" i="3"/>
  <c r="A175" i="3"/>
  <c r="M174" i="3"/>
  <c r="L174" i="3"/>
  <c r="K174" i="3"/>
  <c r="J174" i="3"/>
  <c r="I174" i="3"/>
  <c r="H174" i="3"/>
  <c r="G174" i="3"/>
  <c r="F174" i="3"/>
  <c r="E174" i="3"/>
  <c r="C174" i="3"/>
  <c r="D174" i="3" s="1"/>
  <c r="B174" i="3"/>
  <c r="A174" i="3"/>
  <c r="M173" i="3"/>
  <c r="L173" i="3"/>
  <c r="K173" i="3"/>
  <c r="J173" i="3"/>
  <c r="I173" i="3"/>
  <c r="H173" i="3"/>
  <c r="G173" i="3"/>
  <c r="F173" i="3"/>
  <c r="E173" i="3"/>
  <c r="D173" i="3"/>
  <c r="C173" i="3"/>
  <c r="B173" i="3"/>
  <c r="A173" i="3"/>
  <c r="M172" i="3"/>
  <c r="L172" i="3"/>
  <c r="K172" i="3"/>
  <c r="J172" i="3"/>
  <c r="I172" i="3"/>
  <c r="H172" i="3"/>
  <c r="G172" i="3"/>
  <c r="F172" i="3"/>
  <c r="E172" i="3"/>
  <c r="C172" i="3"/>
  <c r="D172" i="3" s="1"/>
  <c r="B172" i="3"/>
  <c r="A172" i="3"/>
  <c r="M171" i="3"/>
  <c r="L171" i="3"/>
  <c r="K171" i="3"/>
  <c r="J171" i="3"/>
  <c r="I171" i="3"/>
  <c r="H171" i="3"/>
  <c r="G171" i="3"/>
  <c r="F171" i="3"/>
  <c r="D171" i="3"/>
  <c r="C171" i="3"/>
  <c r="E171" i="3" s="1"/>
  <c r="B171" i="3"/>
  <c r="A171" i="3"/>
  <c r="M170" i="3"/>
  <c r="L170" i="3"/>
  <c r="K170" i="3"/>
  <c r="J170" i="3"/>
  <c r="I170" i="3"/>
  <c r="H170" i="3"/>
  <c r="G170" i="3"/>
  <c r="F170" i="3"/>
  <c r="C170" i="3"/>
  <c r="E170" i="3" s="1"/>
  <c r="B170" i="3"/>
  <c r="A170" i="3"/>
  <c r="M169" i="3"/>
  <c r="L169" i="3"/>
  <c r="K169" i="3"/>
  <c r="J169" i="3"/>
  <c r="I169" i="3"/>
  <c r="H169" i="3"/>
  <c r="G169" i="3"/>
  <c r="F169" i="3"/>
  <c r="E169" i="3"/>
  <c r="D169" i="3"/>
  <c r="C169" i="3"/>
  <c r="B169" i="3"/>
  <c r="A169" i="3"/>
  <c r="M168" i="3"/>
  <c r="L168" i="3"/>
  <c r="K168" i="3"/>
  <c r="J168" i="3"/>
  <c r="I168" i="3"/>
  <c r="H168" i="3"/>
  <c r="G168" i="3"/>
  <c r="F168" i="3"/>
  <c r="C168" i="3"/>
  <c r="E168" i="3" s="1"/>
  <c r="B168" i="3"/>
  <c r="A168" i="3"/>
  <c r="M167" i="3"/>
  <c r="L167" i="3"/>
  <c r="K167" i="3"/>
  <c r="J167" i="3"/>
  <c r="I167" i="3"/>
  <c r="H167" i="3"/>
  <c r="G167" i="3"/>
  <c r="F167" i="3"/>
  <c r="C167" i="3"/>
  <c r="D167" i="3" s="1"/>
  <c r="B167" i="3"/>
  <c r="A167" i="3"/>
  <c r="M166" i="3"/>
  <c r="L166" i="3"/>
  <c r="K166" i="3"/>
  <c r="J166" i="3"/>
  <c r="I166" i="3"/>
  <c r="H166" i="3"/>
  <c r="G166" i="3"/>
  <c r="F166" i="3"/>
  <c r="C166" i="3"/>
  <c r="E166" i="3" s="1"/>
  <c r="B166" i="3"/>
  <c r="A166" i="3"/>
  <c r="M165" i="3"/>
  <c r="L165" i="3"/>
  <c r="K165" i="3"/>
  <c r="J165" i="3"/>
  <c r="I165" i="3"/>
  <c r="H165" i="3"/>
  <c r="G165" i="3"/>
  <c r="F165" i="3"/>
  <c r="D165" i="3"/>
  <c r="C165" i="3"/>
  <c r="E165" i="3" s="1"/>
  <c r="B165" i="3"/>
  <c r="A165" i="3"/>
  <c r="M164" i="3"/>
  <c r="L164" i="3"/>
  <c r="K164" i="3"/>
  <c r="J164" i="3"/>
  <c r="I164" i="3"/>
  <c r="H164" i="3"/>
  <c r="G164" i="3"/>
  <c r="F164" i="3"/>
  <c r="E164" i="3"/>
  <c r="C164" i="3"/>
  <c r="D164" i="3" s="1"/>
  <c r="B164" i="3"/>
  <c r="A164" i="3"/>
  <c r="M163" i="3"/>
  <c r="L163" i="3"/>
  <c r="K163" i="3"/>
  <c r="J163" i="3"/>
  <c r="I163" i="3"/>
  <c r="H163" i="3"/>
  <c r="G163" i="3"/>
  <c r="F163" i="3"/>
  <c r="E163" i="3"/>
  <c r="D163" i="3"/>
  <c r="C163" i="3"/>
  <c r="B163" i="3"/>
  <c r="A163" i="3"/>
  <c r="M162" i="3"/>
  <c r="L162" i="3"/>
  <c r="K162" i="3"/>
  <c r="J162" i="3"/>
  <c r="I162" i="3"/>
  <c r="H162" i="3"/>
  <c r="G162" i="3"/>
  <c r="F162" i="3"/>
  <c r="E162" i="3"/>
  <c r="D162" i="3"/>
  <c r="C162" i="3"/>
  <c r="B162" i="3"/>
  <c r="A162" i="3"/>
  <c r="M161" i="3"/>
  <c r="L161" i="3"/>
  <c r="K161" i="3"/>
  <c r="J161" i="3"/>
  <c r="I161" i="3"/>
  <c r="H161" i="3"/>
  <c r="G161" i="3"/>
  <c r="F161" i="3"/>
  <c r="D161" i="3"/>
  <c r="C161" i="3"/>
  <c r="E161" i="3" s="1"/>
  <c r="B161" i="3"/>
  <c r="A161" i="3"/>
  <c r="M160" i="3"/>
  <c r="L160" i="3"/>
  <c r="K160" i="3"/>
  <c r="J160" i="3"/>
  <c r="I160" i="3"/>
  <c r="H160" i="3"/>
  <c r="G160" i="3"/>
  <c r="F160" i="3"/>
  <c r="C160" i="3"/>
  <c r="E160" i="3" s="1"/>
  <c r="B160" i="3"/>
  <c r="A160" i="3"/>
  <c r="M159" i="3"/>
  <c r="L159" i="3"/>
  <c r="K159" i="3"/>
  <c r="J159" i="3"/>
  <c r="I159" i="3"/>
  <c r="H159" i="3"/>
  <c r="G159" i="3"/>
  <c r="F159" i="3"/>
  <c r="C159" i="3"/>
  <c r="E159" i="3" s="1"/>
  <c r="B159" i="3"/>
  <c r="A159" i="3"/>
  <c r="M158" i="3"/>
  <c r="L158" i="3"/>
  <c r="K158" i="3"/>
  <c r="J158" i="3"/>
  <c r="I158" i="3"/>
  <c r="H158" i="3"/>
  <c r="G158" i="3"/>
  <c r="F158" i="3"/>
  <c r="E158" i="3"/>
  <c r="C158" i="3"/>
  <c r="D158" i="3" s="1"/>
  <c r="B158" i="3"/>
  <c r="A158" i="3"/>
  <c r="M157" i="3"/>
  <c r="L157" i="3"/>
  <c r="K157" i="3"/>
  <c r="J157" i="3"/>
  <c r="I157" i="3"/>
  <c r="H157" i="3"/>
  <c r="G157" i="3"/>
  <c r="F157" i="3"/>
  <c r="E157" i="3"/>
  <c r="D157" i="3"/>
  <c r="C157" i="3"/>
  <c r="B157" i="3"/>
  <c r="A157" i="3"/>
  <c r="M156" i="3"/>
  <c r="L156" i="3"/>
  <c r="K156" i="3"/>
  <c r="J156" i="3"/>
  <c r="I156" i="3"/>
  <c r="H156" i="3"/>
  <c r="G156" i="3"/>
  <c r="F156" i="3"/>
  <c r="E156" i="3"/>
  <c r="C156" i="3"/>
  <c r="D156" i="3" s="1"/>
  <c r="B156" i="3"/>
  <c r="A156" i="3"/>
  <c r="M155" i="3"/>
  <c r="L155" i="3"/>
  <c r="K155" i="3"/>
  <c r="J155" i="3"/>
  <c r="I155" i="3"/>
  <c r="H155" i="3"/>
  <c r="G155" i="3"/>
  <c r="F155" i="3"/>
  <c r="D155" i="3"/>
  <c r="C155" i="3"/>
  <c r="E155" i="3" s="1"/>
  <c r="B155" i="3"/>
  <c r="A155" i="3"/>
  <c r="M154" i="3"/>
  <c r="L154" i="3"/>
  <c r="K154" i="3"/>
  <c r="J154" i="3"/>
  <c r="I154" i="3"/>
  <c r="H154" i="3"/>
  <c r="G154" i="3"/>
  <c r="F154" i="3"/>
  <c r="C154" i="3"/>
  <c r="E154" i="3" s="1"/>
  <c r="B154" i="3"/>
  <c r="A154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153" i="3"/>
  <c r="M152" i="3"/>
  <c r="L152" i="3"/>
  <c r="K152" i="3"/>
  <c r="J152" i="3"/>
  <c r="I152" i="3"/>
  <c r="H152" i="3"/>
  <c r="G152" i="3"/>
  <c r="F152" i="3"/>
  <c r="C152" i="3"/>
  <c r="E152" i="3" s="1"/>
  <c r="B152" i="3"/>
  <c r="A152" i="3"/>
  <c r="M151" i="3"/>
  <c r="L151" i="3"/>
  <c r="K151" i="3"/>
  <c r="J151" i="3"/>
  <c r="I151" i="3"/>
  <c r="H151" i="3"/>
  <c r="G151" i="3"/>
  <c r="F151" i="3"/>
  <c r="C151" i="3"/>
  <c r="D151" i="3" s="1"/>
  <c r="B151" i="3"/>
  <c r="A151" i="3"/>
  <c r="M150" i="3"/>
  <c r="L150" i="3"/>
  <c r="K150" i="3"/>
  <c r="J150" i="3"/>
  <c r="I150" i="3"/>
  <c r="H150" i="3"/>
  <c r="G150" i="3"/>
  <c r="F150" i="3"/>
  <c r="C150" i="3"/>
  <c r="E150" i="3" s="1"/>
  <c r="B150" i="3"/>
  <c r="A150" i="3"/>
  <c r="M149" i="3"/>
  <c r="L149" i="3"/>
  <c r="K149" i="3"/>
  <c r="J149" i="3"/>
  <c r="I149" i="3"/>
  <c r="H149" i="3"/>
  <c r="G149" i="3"/>
  <c r="F149" i="3"/>
  <c r="D149" i="3"/>
  <c r="C149" i="3"/>
  <c r="E149" i="3" s="1"/>
  <c r="B149" i="3"/>
  <c r="A149" i="3"/>
  <c r="M148" i="3"/>
  <c r="L148" i="3"/>
  <c r="K148" i="3"/>
  <c r="J148" i="3"/>
  <c r="I148" i="3"/>
  <c r="H148" i="3"/>
  <c r="G148" i="3"/>
  <c r="F148" i="3"/>
  <c r="E148" i="3"/>
  <c r="D148" i="3"/>
  <c r="C148" i="3"/>
  <c r="B148" i="3"/>
  <c r="A148" i="3"/>
  <c r="M147" i="3"/>
  <c r="L147" i="3"/>
  <c r="K147" i="3"/>
  <c r="J147" i="3"/>
  <c r="I147" i="3"/>
  <c r="H147" i="3"/>
  <c r="G147" i="3"/>
  <c r="F147" i="3"/>
  <c r="E147" i="3"/>
  <c r="D147" i="3"/>
  <c r="C147" i="3"/>
  <c r="B147" i="3"/>
  <c r="A147" i="3"/>
  <c r="M146" i="3"/>
  <c r="L146" i="3"/>
  <c r="K146" i="3"/>
  <c r="J146" i="3"/>
  <c r="I146" i="3"/>
  <c r="H146" i="3"/>
  <c r="G146" i="3"/>
  <c r="F146" i="3"/>
  <c r="E146" i="3"/>
  <c r="D146" i="3"/>
  <c r="C146" i="3"/>
  <c r="B146" i="3"/>
  <c r="A146" i="3"/>
  <c r="M145" i="3"/>
  <c r="L145" i="3"/>
  <c r="K145" i="3"/>
  <c r="J145" i="3"/>
  <c r="I145" i="3"/>
  <c r="H145" i="3"/>
  <c r="G145" i="3"/>
  <c r="F145" i="3"/>
  <c r="D145" i="3"/>
  <c r="C145" i="3"/>
  <c r="E145" i="3" s="1"/>
  <c r="B145" i="3"/>
  <c r="A145" i="3"/>
  <c r="M144" i="3"/>
  <c r="L144" i="3"/>
  <c r="K144" i="3"/>
  <c r="J144" i="3"/>
  <c r="I144" i="3"/>
  <c r="H144" i="3"/>
  <c r="G144" i="3"/>
  <c r="F144" i="3"/>
  <c r="C144" i="3"/>
  <c r="E144" i="3" s="1"/>
  <c r="B144" i="3"/>
  <c r="A144" i="3"/>
  <c r="M143" i="3"/>
  <c r="L143" i="3"/>
  <c r="K143" i="3"/>
  <c r="J143" i="3"/>
  <c r="I143" i="3"/>
  <c r="H143" i="3"/>
  <c r="G143" i="3"/>
  <c r="F143" i="3"/>
  <c r="C143" i="3"/>
  <c r="E143" i="3" s="1"/>
  <c r="B143" i="3"/>
  <c r="A143" i="3"/>
  <c r="M142" i="3"/>
  <c r="L142" i="3"/>
  <c r="K142" i="3"/>
  <c r="J142" i="3"/>
  <c r="I142" i="3"/>
  <c r="H142" i="3"/>
  <c r="G142" i="3"/>
  <c r="F142" i="3"/>
  <c r="E142" i="3"/>
  <c r="C142" i="3"/>
  <c r="D142" i="3" s="1"/>
  <c r="B142" i="3"/>
  <c r="A142" i="3"/>
  <c r="M141" i="3"/>
  <c r="L141" i="3"/>
  <c r="K141" i="3"/>
  <c r="J141" i="3"/>
  <c r="I141" i="3"/>
  <c r="H141" i="3"/>
  <c r="G141" i="3"/>
  <c r="F141" i="3"/>
  <c r="E141" i="3"/>
  <c r="D141" i="3"/>
  <c r="C141" i="3"/>
  <c r="B141" i="3"/>
  <c r="A141" i="3"/>
  <c r="M140" i="3"/>
  <c r="L140" i="3"/>
  <c r="K140" i="3"/>
  <c r="J140" i="3"/>
  <c r="I140" i="3"/>
  <c r="H140" i="3"/>
  <c r="G140" i="3"/>
  <c r="F140" i="3"/>
  <c r="E140" i="3"/>
  <c r="C140" i="3"/>
  <c r="D140" i="3" s="1"/>
  <c r="B140" i="3"/>
  <c r="A140" i="3"/>
  <c r="M139" i="3"/>
  <c r="L139" i="3"/>
  <c r="K139" i="3"/>
  <c r="J139" i="3"/>
  <c r="I139" i="3"/>
  <c r="H139" i="3"/>
  <c r="G139" i="3"/>
  <c r="F139" i="3"/>
  <c r="D139" i="3"/>
  <c r="C139" i="3"/>
  <c r="E139" i="3" s="1"/>
  <c r="B139" i="3"/>
  <c r="A139" i="3"/>
  <c r="M138" i="3"/>
  <c r="L138" i="3"/>
  <c r="K138" i="3"/>
  <c r="J138" i="3"/>
  <c r="I138" i="3"/>
  <c r="H138" i="3"/>
  <c r="G138" i="3"/>
  <c r="F138" i="3"/>
  <c r="C138" i="3"/>
  <c r="E138" i="3" s="1"/>
  <c r="B138" i="3"/>
  <c r="A138" i="3"/>
  <c r="M137" i="3"/>
  <c r="L137" i="3"/>
  <c r="K137" i="3"/>
  <c r="J137" i="3"/>
  <c r="I137" i="3"/>
  <c r="H137" i="3"/>
  <c r="G137" i="3"/>
  <c r="F137" i="3"/>
  <c r="D137" i="3"/>
  <c r="C137" i="3"/>
  <c r="E137" i="3" s="1"/>
  <c r="B137" i="3"/>
  <c r="A137" i="3"/>
  <c r="M136" i="3"/>
  <c r="L136" i="3"/>
  <c r="K136" i="3"/>
  <c r="J136" i="3"/>
  <c r="I136" i="3"/>
  <c r="H136" i="3"/>
  <c r="G136" i="3"/>
  <c r="F136" i="3"/>
  <c r="C136" i="3"/>
  <c r="E136" i="3" s="1"/>
  <c r="B136" i="3"/>
  <c r="A136" i="3"/>
  <c r="M135" i="3"/>
  <c r="L135" i="3"/>
  <c r="K135" i="3"/>
  <c r="J135" i="3"/>
  <c r="I135" i="3"/>
  <c r="H135" i="3"/>
  <c r="G135" i="3"/>
  <c r="F135" i="3"/>
  <c r="C135" i="3"/>
  <c r="D135" i="3" s="1"/>
  <c r="B135" i="3"/>
  <c r="A135" i="3"/>
  <c r="M134" i="3"/>
  <c r="L134" i="3"/>
  <c r="K134" i="3"/>
  <c r="J134" i="3"/>
  <c r="I134" i="3"/>
  <c r="H134" i="3"/>
  <c r="G134" i="3"/>
  <c r="F134" i="3"/>
  <c r="C134" i="3"/>
  <c r="E134" i="3" s="1"/>
  <c r="B134" i="3"/>
  <c r="A134" i="3"/>
  <c r="M133" i="3"/>
  <c r="L133" i="3"/>
  <c r="K133" i="3"/>
  <c r="J133" i="3"/>
  <c r="I133" i="3"/>
  <c r="H133" i="3"/>
  <c r="G133" i="3"/>
  <c r="F133" i="3"/>
  <c r="D133" i="3"/>
  <c r="C133" i="3"/>
  <c r="E133" i="3" s="1"/>
  <c r="B133" i="3"/>
  <c r="A133" i="3"/>
  <c r="M132" i="3"/>
  <c r="L132" i="3"/>
  <c r="K132" i="3"/>
  <c r="J132" i="3"/>
  <c r="I132" i="3"/>
  <c r="H132" i="3"/>
  <c r="G132" i="3"/>
  <c r="F132" i="3"/>
  <c r="E132" i="3"/>
  <c r="D132" i="3"/>
  <c r="C132" i="3"/>
  <c r="B132" i="3"/>
  <c r="A132" i="3"/>
  <c r="M131" i="3"/>
  <c r="L131" i="3"/>
  <c r="K131" i="3"/>
  <c r="J131" i="3"/>
  <c r="I131" i="3"/>
  <c r="H131" i="3"/>
  <c r="G131" i="3"/>
  <c r="F131" i="3"/>
  <c r="E131" i="3"/>
  <c r="D131" i="3"/>
  <c r="C131" i="3"/>
  <c r="B131" i="3"/>
  <c r="A131" i="3"/>
  <c r="M130" i="3"/>
  <c r="L130" i="3"/>
  <c r="K130" i="3"/>
  <c r="J130" i="3"/>
  <c r="I130" i="3"/>
  <c r="H130" i="3"/>
  <c r="G130" i="3"/>
  <c r="F130" i="3"/>
  <c r="E130" i="3"/>
  <c r="D130" i="3"/>
  <c r="C130" i="3"/>
  <c r="B130" i="3"/>
  <c r="A130" i="3"/>
  <c r="M129" i="3"/>
  <c r="L129" i="3"/>
  <c r="K129" i="3"/>
  <c r="J129" i="3"/>
  <c r="I129" i="3"/>
  <c r="H129" i="3"/>
  <c r="G129" i="3"/>
  <c r="F129" i="3"/>
  <c r="D129" i="3"/>
  <c r="C129" i="3"/>
  <c r="E129" i="3" s="1"/>
  <c r="B129" i="3"/>
  <c r="A129" i="3"/>
  <c r="M128" i="3"/>
  <c r="L128" i="3"/>
  <c r="K128" i="3"/>
  <c r="J128" i="3"/>
  <c r="I128" i="3"/>
  <c r="H128" i="3"/>
  <c r="G128" i="3"/>
  <c r="F128" i="3"/>
  <c r="C128" i="3"/>
  <c r="E128" i="3" s="1"/>
  <c r="B128" i="3"/>
  <c r="A128" i="3"/>
  <c r="M127" i="3"/>
  <c r="L127" i="3"/>
  <c r="K127" i="3"/>
  <c r="J127" i="3"/>
  <c r="I127" i="3"/>
  <c r="H127" i="3"/>
  <c r="G127" i="3"/>
  <c r="F127" i="3"/>
  <c r="C127" i="3"/>
  <c r="E127" i="3" s="1"/>
  <c r="B127" i="3"/>
  <c r="A127" i="3"/>
  <c r="M126" i="3"/>
  <c r="L126" i="3"/>
  <c r="K126" i="3"/>
  <c r="J126" i="3"/>
  <c r="I126" i="3"/>
  <c r="H126" i="3"/>
  <c r="G126" i="3"/>
  <c r="F126" i="3"/>
  <c r="E126" i="3"/>
  <c r="C126" i="3"/>
  <c r="D126" i="3" s="1"/>
  <c r="B126" i="3"/>
  <c r="A126" i="3"/>
  <c r="M125" i="3"/>
  <c r="L125" i="3"/>
  <c r="K125" i="3"/>
  <c r="J125" i="3"/>
  <c r="I125" i="3"/>
  <c r="H125" i="3"/>
  <c r="G125" i="3"/>
  <c r="F125" i="3"/>
  <c r="E125" i="3"/>
  <c r="D125" i="3"/>
  <c r="C125" i="3"/>
  <c r="B125" i="3"/>
  <c r="A125" i="3"/>
  <c r="M124" i="3"/>
  <c r="L124" i="3"/>
  <c r="K124" i="3"/>
  <c r="J124" i="3"/>
  <c r="I124" i="3"/>
  <c r="H124" i="3"/>
  <c r="G124" i="3"/>
  <c r="F124" i="3"/>
  <c r="E124" i="3"/>
  <c r="C124" i="3"/>
  <c r="D124" i="3" s="1"/>
  <c r="B124" i="3"/>
  <c r="A124" i="3"/>
  <c r="M123" i="3"/>
  <c r="L123" i="3"/>
  <c r="K123" i="3"/>
  <c r="J123" i="3"/>
  <c r="I123" i="3"/>
  <c r="H123" i="3"/>
  <c r="G123" i="3"/>
  <c r="F123" i="3"/>
  <c r="D123" i="3"/>
  <c r="C123" i="3"/>
  <c r="E123" i="3" s="1"/>
  <c r="B123" i="3"/>
  <c r="A123" i="3"/>
  <c r="M122" i="3"/>
  <c r="L122" i="3"/>
  <c r="K122" i="3"/>
  <c r="J122" i="3"/>
  <c r="I122" i="3"/>
  <c r="H122" i="3"/>
  <c r="G122" i="3"/>
  <c r="F122" i="3"/>
  <c r="C122" i="3"/>
  <c r="E122" i="3" s="1"/>
  <c r="B122" i="3"/>
  <c r="A122" i="3"/>
  <c r="M121" i="3"/>
  <c r="L121" i="3"/>
  <c r="K121" i="3"/>
  <c r="J121" i="3"/>
  <c r="I121" i="3"/>
  <c r="H121" i="3"/>
  <c r="G121" i="3"/>
  <c r="F121" i="3"/>
  <c r="D121" i="3"/>
  <c r="C121" i="3"/>
  <c r="E121" i="3" s="1"/>
  <c r="B121" i="3"/>
  <c r="A121" i="3"/>
  <c r="M120" i="3"/>
  <c r="L120" i="3"/>
  <c r="K120" i="3"/>
  <c r="J120" i="3"/>
  <c r="I120" i="3"/>
  <c r="H120" i="3"/>
  <c r="G120" i="3"/>
  <c r="F120" i="3"/>
  <c r="C120" i="3"/>
  <c r="E120" i="3" s="1"/>
  <c r="B120" i="3"/>
  <c r="A120" i="3"/>
  <c r="M119" i="3"/>
  <c r="L119" i="3"/>
  <c r="K119" i="3"/>
  <c r="J119" i="3"/>
  <c r="I119" i="3"/>
  <c r="H119" i="3"/>
  <c r="G119" i="3"/>
  <c r="F119" i="3"/>
  <c r="C119" i="3"/>
  <c r="D119" i="3" s="1"/>
  <c r="B119" i="3"/>
  <c r="A119" i="3"/>
  <c r="M118" i="3"/>
  <c r="L118" i="3"/>
  <c r="K118" i="3"/>
  <c r="J118" i="3"/>
  <c r="I118" i="3"/>
  <c r="H118" i="3"/>
  <c r="G118" i="3"/>
  <c r="F118" i="3"/>
  <c r="C118" i="3"/>
  <c r="E118" i="3" s="1"/>
  <c r="B118" i="3"/>
  <c r="A118" i="3"/>
  <c r="M117" i="3"/>
  <c r="L117" i="3"/>
  <c r="K117" i="3"/>
  <c r="J117" i="3"/>
  <c r="I117" i="3"/>
  <c r="H117" i="3"/>
  <c r="G117" i="3"/>
  <c r="F117" i="3"/>
  <c r="D117" i="3"/>
  <c r="C117" i="3"/>
  <c r="E117" i="3" s="1"/>
  <c r="B117" i="3"/>
  <c r="A117" i="3"/>
  <c r="M116" i="3"/>
  <c r="L116" i="3"/>
  <c r="K116" i="3"/>
  <c r="J116" i="3"/>
  <c r="I116" i="3"/>
  <c r="H116" i="3"/>
  <c r="G116" i="3"/>
  <c r="F116" i="3"/>
  <c r="E116" i="3"/>
  <c r="D116" i="3"/>
  <c r="C116" i="3"/>
  <c r="B116" i="3"/>
  <c r="A116" i="3"/>
  <c r="M115" i="3"/>
  <c r="L115" i="3"/>
  <c r="K115" i="3"/>
  <c r="J115" i="3"/>
  <c r="I115" i="3"/>
  <c r="H115" i="3"/>
  <c r="G115" i="3"/>
  <c r="F115" i="3"/>
  <c r="E115" i="3"/>
  <c r="D115" i="3"/>
  <c r="C115" i="3"/>
  <c r="B115" i="3"/>
  <c r="A115" i="3"/>
  <c r="M114" i="3"/>
  <c r="L114" i="3"/>
  <c r="K114" i="3"/>
  <c r="J114" i="3"/>
  <c r="I114" i="3"/>
  <c r="H114" i="3"/>
  <c r="G114" i="3"/>
  <c r="F114" i="3"/>
  <c r="E114" i="3"/>
  <c r="D114" i="3"/>
  <c r="C114" i="3"/>
  <c r="B114" i="3"/>
  <c r="A114" i="3"/>
  <c r="M113" i="3"/>
  <c r="L113" i="3"/>
  <c r="K113" i="3"/>
  <c r="J113" i="3"/>
  <c r="I113" i="3"/>
  <c r="H113" i="3"/>
  <c r="G113" i="3"/>
  <c r="F113" i="3"/>
  <c r="D113" i="3"/>
  <c r="C113" i="3"/>
  <c r="E113" i="3" s="1"/>
  <c r="B113" i="3"/>
  <c r="A113" i="3"/>
  <c r="M112" i="3"/>
  <c r="L112" i="3"/>
  <c r="K112" i="3"/>
  <c r="J112" i="3"/>
  <c r="I112" i="3"/>
  <c r="H112" i="3"/>
  <c r="G112" i="3"/>
  <c r="F112" i="3"/>
  <c r="C112" i="3"/>
  <c r="E112" i="3" s="1"/>
  <c r="B112" i="3"/>
  <c r="A112" i="3"/>
  <c r="M111" i="3"/>
  <c r="L111" i="3"/>
  <c r="K111" i="3"/>
  <c r="J111" i="3"/>
  <c r="I111" i="3"/>
  <c r="H111" i="3"/>
  <c r="G111" i="3"/>
  <c r="F111" i="3"/>
  <c r="C111" i="3"/>
  <c r="E111" i="3" s="1"/>
  <c r="B111" i="3"/>
  <c r="A111" i="3"/>
  <c r="M110" i="3"/>
  <c r="L110" i="3"/>
  <c r="K110" i="3"/>
  <c r="J110" i="3"/>
  <c r="I110" i="3"/>
  <c r="H110" i="3"/>
  <c r="G110" i="3"/>
  <c r="F110" i="3"/>
  <c r="E110" i="3"/>
  <c r="C110" i="3"/>
  <c r="D110" i="3" s="1"/>
  <c r="B110" i="3"/>
  <c r="A110" i="3"/>
  <c r="M109" i="3"/>
  <c r="L109" i="3"/>
  <c r="K109" i="3"/>
  <c r="J109" i="3"/>
  <c r="I109" i="3"/>
  <c r="H109" i="3"/>
  <c r="G109" i="3"/>
  <c r="F109" i="3"/>
  <c r="E109" i="3"/>
  <c r="C109" i="3"/>
  <c r="D109" i="3" s="1"/>
  <c r="B109" i="3"/>
  <c r="A109" i="3"/>
  <c r="M108" i="3"/>
  <c r="L108" i="3"/>
  <c r="K108" i="3"/>
  <c r="J108" i="3"/>
  <c r="I108" i="3"/>
  <c r="H108" i="3"/>
  <c r="G108" i="3"/>
  <c r="F108" i="3"/>
  <c r="E108" i="3"/>
  <c r="C108" i="3"/>
  <c r="D108" i="3" s="1"/>
  <c r="B108" i="3"/>
  <c r="A108" i="3"/>
  <c r="M107" i="3"/>
  <c r="L107" i="3"/>
  <c r="K107" i="3"/>
  <c r="J107" i="3"/>
  <c r="I107" i="3"/>
  <c r="H107" i="3"/>
  <c r="G107" i="3"/>
  <c r="F107" i="3"/>
  <c r="D107" i="3"/>
  <c r="C107" i="3"/>
  <c r="E107" i="3" s="1"/>
  <c r="B107" i="3"/>
  <c r="A107" i="3"/>
  <c r="M106" i="3"/>
  <c r="L106" i="3"/>
  <c r="K106" i="3"/>
  <c r="J106" i="3"/>
  <c r="I106" i="3"/>
  <c r="H106" i="3"/>
  <c r="G106" i="3"/>
  <c r="F106" i="3"/>
  <c r="C106" i="3"/>
  <c r="E106" i="3" s="1"/>
  <c r="B106" i="3"/>
  <c r="A106" i="3"/>
  <c r="M105" i="3"/>
  <c r="L105" i="3"/>
  <c r="K105" i="3"/>
  <c r="J105" i="3"/>
  <c r="I105" i="3"/>
  <c r="H105" i="3"/>
  <c r="G105" i="3"/>
  <c r="F105" i="3"/>
  <c r="D105" i="3"/>
  <c r="C105" i="3"/>
  <c r="E105" i="3" s="1"/>
  <c r="B105" i="3"/>
  <c r="A105" i="3"/>
  <c r="M104" i="3"/>
  <c r="L104" i="3"/>
  <c r="K104" i="3"/>
  <c r="J104" i="3"/>
  <c r="I104" i="3"/>
  <c r="H104" i="3"/>
  <c r="G104" i="3"/>
  <c r="F104" i="3"/>
  <c r="C104" i="3"/>
  <c r="E104" i="3" s="1"/>
  <c r="B104" i="3"/>
  <c r="A104" i="3"/>
  <c r="M103" i="3"/>
  <c r="L103" i="3"/>
  <c r="K103" i="3"/>
  <c r="J103" i="3"/>
  <c r="I103" i="3"/>
  <c r="H103" i="3"/>
  <c r="G103" i="3"/>
  <c r="F103" i="3"/>
  <c r="C103" i="3"/>
  <c r="D103" i="3" s="1"/>
  <c r="B103" i="3"/>
  <c r="A103" i="3"/>
  <c r="M102" i="3"/>
  <c r="L102" i="3"/>
  <c r="K102" i="3"/>
  <c r="J102" i="3"/>
  <c r="I102" i="3"/>
  <c r="H102" i="3"/>
  <c r="G102" i="3"/>
  <c r="F102" i="3"/>
  <c r="C102" i="3"/>
  <c r="E102" i="3" s="1"/>
  <c r="B102" i="3"/>
  <c r="A102" i="3"/>
  <c r="M101" i="3"/>
  <c r="L101" i="3"/>
  <c r="K101" i="3"/>
  <c r="J101" i="3"/>
  <c r="I101" i="3"/>
  <c r="H101" i="3"/>
  <c r="G101" i="3"/>
  <c r="F101" i="3"/>
  <c r="D101" i="3"/>
  <c r="C101" i="3"/>
  <c r="E101" i="3" s="1"/>
  <c r="B101" i="3"/>
  <c r="A101" i="3"/>
  <c r="M100" i="3"/>
  <c r="L100" i="3"/>
  <c r="K100" i="3"/>
  <c r="J100" i="3"/>
  <c r="I100" i="3"/>
  <c r="H100" i="3"/>
  <c r="G100" i="3"/>
  <c r="F100" i="3"/>
  <c r="E100" i="3"/>
  <c r="D100" i="3"/>
  <c r="C100" i="3"/>
  <c r="B100" i="3"/>
  <c r="A100" i="3"/>
  <c r="M99" i="3"/>
  <c r="L99" i="3"/>
  <c r="K99" i="3"/>
  <c r="J99" i="3"/>
  <c r="I99" i="3"/>
  <c r="H99" i="3"/>
  <c r="G99" i="3"/>
  <c r="F99" i="3"/>
  <c r="E99" i="3"/>
  <c r="D99" i="3"/>
  <c r="C99" i="3"/>
  <c r="B99" i="3"/>
  <c r="A99" i="3"/>
  <c r="M98" i="3"/>
  <c r="L98" i="3"/>
  <c r="K98" i="3"/>
  <c r="J98" i="3"/>
  <c r="I98" i="3"/>
  <c r="H98" i="3"/>
  <c r="G98" i="3"/>
  <c r="F98" i="3"/>
  <c r="E98" i="3"/>
  <c r="D98" i="3"/>
  <c r="C98" i="3"/>
  <c r="B98" i="3"/>
  <c r="A98" i="3"/>
  <c r="M97" i="3"/>
  <c r="L97" i="3"/>
  <c r="K97" i="3"/>
  <c r="J97" i="3"/>
  <c r="I97" i="3"/>
  <c r="H97" i="3"/>
  <c r="G97" i="3"/>
  <c r="F97" i="3"/>
  <c r="D97" i="3"/>
  <c r="C97" i="3"/>
  <c r="E97" i="3" s="1"/>
  <c r="B97" i="3"/>
  <c r="A97" i="3"/>
  <c r="M96" i="3"/>
  <c r="L96" i="3"/>
  <c r="K96" i="3"/>
  <c r="J96" i="3"/>
  <c r="I96" i="3"/>
  <c r="H96" i="3"/>
  <c r="G96" i="3"/>
  <c r="F96" i="3"/>
  <c r="C96" i="3"/>
  <c r="E96" i="3" s="1"/>
  <c r="B96" i="3"/>
  <c r="A96" i="3"/>
  <c r="M95" i="3"/>
  <c r="L95" i="3"/>
  <c r="K95" i="3"/>
  <c r="J95" i="3"/>
  <c r="I95" i="3"/>
  <c r="H95" i="3"/>
  <c r="G95" i="3"/>
  <c r="F95" i="3"/>
  <c r="C95" i="3"/>
  <c r="E95" i="3" s="1"/>
  <c r="B95" i="3"/>
  <c r="A95" i="3"/>
  <c r="M94" i="3"/>
  <c r="L94" i="3"/>
  <c r="K94" i="3"/>
  <c r="J94" i="3"/>
  <c r="I94" i="3"/>
  <c r="H94" i="3"/>
  <c r="G94" i="3"/>
  <c r="F94" i="3"/>
  <c r="E94" i="3"/>
  <c r="C94" i="3"/>
  <c r="D94" i="3" s="1"/>
  <c r="B94" i="3"/>
  <c r="A94" i="3"/>
  <c r="M93" i="3"/>
  <c r="L93" i="3"/>
  <c r="K93" i="3"/>
  <c r="J93" i="3"/>
  <c r="I93" i="3"/>
  <c r="H93" i="3"/>
  <c r="G93" i="3"/>
  <c r="F93" i="3"/>
  <c r="E93" i="3"/>
  <c r="C93" i="3"/>
  <c r="D93" i="3" s="1"/>
  <c r="B93" i="3"/>
  <c r="A93" i="3"/>
  <c r="M92" i="3"/>
  <c r="L92" i="3"/>
  <c r="K92" i="3"/>
  <c r="J92" i="3"/>
  <c r="I92" i="3"/>
  <c r="H92" i="3"/>
  <c r="G92" i="3"/>
  <c r="F92" i="3"/>
  <c r="E92" i="3"/>
  <c r="C92" i="3"/>
  <c r="D92" i="3" s="1"/>
  <c r="B92" i="3"/>
  <c r="A92" i="3"/>
  <c r="M91" i="3"/>
  <c r="L91" i="3"/>
  <c r="K91" i="3"/>
  <c r="J91" i="3"/>
  <c r="I91" i="3"/>
  <c r="H91" i="3"/>
  <c r="G91" i="3"/>
  <c r="F91" i="3"/>
  <c r="D91" i="3"/>
  <c r="C91" i="3"/>
  <c r="E91" i="3" s="1"/>
  <c r="B91" i="3"/>
  <c r="A91" i="3"/>
  <c r="M90" i="3"/>
  <c r="L90" i="3"/>
  <c r="K90" i="3"/>
  <c r="J90" i="3"/>
  <c r="I90" i="3"/>
  <c r="H90" i="3"/>
  <c r="G90" i="3"/>
  <c r="F90" i="3"/>
  <c r="C90" i="3"/>
  <c r="E90" i="3" s="1"/>
  <c r="B90" i="3"/>
  <c r="A90" i="3"/>
  <c r="M89" i="3"/>
  <c r="L89" i="3"/>
  <c r="K89" i="3"/>
  <c r="J89" i="3"/>
  <c r="I89" i="3"/>
  <c r="H89" i="3"/>
  <c r="G89" i="3"/>
  <c r="F89" i="3"/>
  <c r="D89" i="3"/>
  <c r="C89" i="3"/>
  <c r="E89" i="3" s="1"/>
  <c r="B89" i="3"/>
  <c r="A89" i="3"/>
  <c r="M88" i="3"/>
  <c r="L88" i="3"/>
  <c r="K88" i="3"/>
  <c r="J88" i="3"/>
  <c r="I88" i="3"/>
  <c r="H88" i="3"/>
  <c r="G88" i="3"/>
  <c r="F88" i="3"/>
  <c r="C88" i="3"/>
  <c r="E88" i="3" s="1"/>
  <c r="B88" i="3"/>
  <c r="A88" i="3"/>
  <c r="M87" i="3"/>
  <c r="L87" i="3"/>
  <c r="K87" i="3"/>
  <c r="J87" i="3"/>
  <c r="I87" i="3"/>
  <c r="H87" i="3"/>
  <c r="G87" i="3"/>
  <c r="F87" i="3"/>
  <c r="C87" i="3"/>
  <c r="D87" i="3" s="1"/>
  <c r="B87" i="3"/>
  <c r="A87" i="3"/>
  <c r="M86" i="3"/>
  <c r="L86" i="3"/>
  <c r="K86" i="3"/>
  <c r="J86" i="3"/>
  <c r="I86" i="3"/>
  <c r="H86" i="3"/>
  <c r="G86" i="3"/>
  <c r="F86" i="3"/>
  <c r="C86" i="3"/>
  <c r="E86" i="3" s="1"/>
  <c r="B86" i="3"/>
  <c r="A86" i="3"/>
  <c r="M85" i="3"/>
  <c r="L85" i="3"/>
  <c r="K85" i="3"/>
  <c r="J85" i="3"/>
  <c r="I85" i="3"/>
  <c r="H85" i="3"/>
  <c r="G85" i="3"/>
  <c r="F85" i="3"/>
  <c r="D85" i="3"/>
  <c r="C85" i="3"/>
  <c r="E85" i="3" s="1"/>
  <c r="B85" i="3"/>
  <c r="A85" i="3"/>
  <c r="M84" i="3"/>
  <c r="L84" i="3"/>
  <c r="K84" i="3"/>
  <c r="J84" i="3"/>
  <c r="I84" i="3"/>
  <c r="H84" i="3"/>
  <c r="G84" i="3"/>
  <c r="F84" i="3"/>
  <c r="E84" i="3"/>
  <c r="D84" i="3"/>
  <c r="C84" i="3"/>
  <c r="B84" i="3"/>
  <c r="A84" i="3"/>
  <c r="M83" i="3"/>
  <c r="L83" i="3"/>
  <c r="K83" i="3"/>
  <c r="J83" i="3"/>
  <c r="I83" i="3"/>
  <c r="H83" i="3"/>
  <c r="G83" i="3"/>
  <c r="F83" i="3"/>
  <c r="E83" i="3"/>
  <c r="D83" i="3"/>
  <c r="C83" i="3"/>
  <c r="B83" i="3"/>
  <c r="A83" i="3"/>
  <c r="M82" i="3"/>
  <c r="L82" i="3"/>
  <c r="K82" i="3"/>
  <c r="J82" i="3"/>
  <c r="I82" i="3"/>
  <c r="H82" i="3"/>
  <c r="G82" i="3"/>
  <c r="F82" i="3"/>
  <c r="E82" i="3"/>
  <c r="D82" i="3"/>
  <c r="C82" i="3"/>
  <c r="B82" i="3"/>
  <c r="A82" i="3"/>
  <c r="M81" i="3"/>
  <c r="L81" i="3"/>
  <c r="K81" i="3"/>
  <c r="J81" i="3"/>
  <c r="I81" i="3"/>
  <c r="H81" i="3"/>
  <c r="G81" i="3"/>
  <c r="F81" i="3"/>
  <c r="D81" i="3"/>
  <c r="C81" i="3"/>
  <c r="E81" i="3" s="1"/>
  <c r="B81" i="3"/>
  <c r="A81" i="3"/>
  <c r="M80" i="3"/>
  <c r="L80" i="3"/>
  <c r="K80" i="3"/>
  <c r="J80" i="3"/>
  <c r="I80" i="3"/>
  <c r="H80" i="3"/>
  <c r="G80" i="3"/>
  <c r="F80" i="3"/>
  <c r="C80" i="3"/>
  <c r="E80" i="3" s="1"/>
  <c r="B80" i="3"/>
  <c r="A80" i="3"/>
  <c r="M79" i="3"/>
  <c r="L79" i="3"/>
  <c r="K79" i="3"/>
  <c r="J79" i="3"/>
  <c r="I79" i="3"/>
  <c r="H79" i="3"/>
  <c r="G79" i="3"/>
  <c r="F79" i="3"/>
  <c r="C79" i="3"/>
  <c r="E79" i="3" s="1"/>
  <c r="B79" i="3"/>
  <c r="A79" i="3"/>
  <c r="M78" i="3"/>
  <c r="L78" i="3"/>
  <c r="K78" i="3"/>
  <c r="J78" i="3"/>
  <c r="I78" i="3"/>
  <c r="H78" i="3"/>
  <c r="G78" i="3"/>
  <c r="F78" i="3"/>
  <c r="E78" i="3"/>
  <c r="C78" i="3"/>
  <c r="D78" i="3" s="1"/>
  <c r="B78" i="3"/>
  <c r="A78" i="3"/>
  <c r="M77" i="3"/>
  <c r="L77" i="3"/>
  <c r="K77" i="3"/>
  <c r="J77" i="3"/>
  <c r="I77" i="3"/>
  <c r="H77" i="3"/>
  <c r="G77" i="3"/>
  <c r="F77" i="3"/>
  <c r="E77" i="3"/>
  <c r="C77" i="3"/>
  <c r="D77" i="3" s="1"/>
  <c r="B77" i="3"/>
  <c r="A77" i="3"/>
  <c r="M76" i="3"/>
  <c r="L76" i="3"/>
  <c r="K76" i="3"/>
  <c r="J76" i="3"/>
  <c r="I76" i="3"/>
  <c r="H76" i="3"/>
  <c r="G76" i="3"/>
  <c r="F76" i="3"/>
  <c r="E76" i="3"/>
  <c r="C76" i="3"/>
  <c r="D76" i="3" s="1"/>
  <c r="B76" i="3"/>
  <c r="A76" i="3"/>
  <c r="M75" i="3"/>
  <c r="L75" i="3"/>
  <c r="K75" i="3"/>
  <c r="J75" i="3"/>
  <c r="I75" i="3"/>
  <c r="H75" i="3"/>
  <c r="G75" i="3"/>
  <c r="F75" i="3"/>
  <c r="D75" i="3"/>
  <c r="C75" i="3"/>
  <c r="E75" i="3" s="1"/>
  <c r="B75" i="3"/>
  <c r="A75" i="3"/>
  <c r="M74" i="3"/>
  <c r="L74" i="3"/>
  <c r="K74" i="3"/>
  <c r="J74" i="3"/>
  <c r="I74" i="3"/>
  <c r="H74" i="3"/>
  <c r="G74" i="3"/>
  <c r="F74" i="3"/>
  <c r="C74" i="3"/>
  <c r="E74" i="3" s="1"/>
  <c r="B74" i="3"/>
  <c r="A74" i="3"/>
  <c r="M73" i="3"/>
  <c r="L73" i="3"/>
  <c r="K73" i="3"/>
  <c r="J73" i="3"/>
  <c r="I73" i="3"/>
  <c r="H73" i="3"/>
  <c r="G73" i="3"/>
  <c r="F73" i="3"/>
  <c r="D73" i="3"/>
  <c r="C73" i="3"/>
  <c r="E73" i="3" s="1"/>
  <c r="B73" i="3"/>
  <c r="A73" i="3"/>
  <c r="M72" i="3"/>
  <c r="L72" i="3"/>
  <c r="K72" i="3"/>
  <c r="J72" i="3"/>
  <c r="I72" i="3"/>
  <c r="H72" i="3"/>
  <c r="G72" i="3"/>
  <c r="F72" i="3"/>
  <c r="C72" i="3"/>
  <c r="E72" i="3" s="1"/>
  <c r="B72" i="3"/>
  <c r="A72" i="3"/>
  <c r="M71" i="3"/>
  <c r="L71" i="3"/>
  <c r="K71" i="3"/>
  <c r="J71" i="3"/>
  <c r="I71" i="3"/>
  <c r="H71" i="3"/>
  <c r="G71" i="3"/>
  <c r="F71" i="3"/>
  <c r="C71" i="3"/>
  <c r="E71" i="3" s="1"/>
  <c r="B71" i="3"/>
  <c r="A71" i="3"/>
  <c r="M70" i="3"/>
  <c r="L70" i="3"/>
  <c r="K70" i="3"/>
  <c r="J70" i="3"/>
  <c r="I70" i="3"/>
  <c r="H70" i="3"/>
  <c r="G70" i="3"/>
  <c r="F70" i="3"/>
  <c r="C70" i="3"/>
  <c r="E70" i="3" s="1"/>
  <c r="B70" i="3"/>
  <c r="A70" i="3"/>
  <c r="M69" i="3"/>
  <c r="L69" i="3"/>
  <c r="K69" i="3"/>
  <c r="J69" i="3"/>
  <c r="I69" i="3"/>
  <c r="H69" i="3"/>
  <c r="G69" i="3"/>
  <c r="F69" i="3"/>
  <c r="C69" i="3"/>
  <c r="D69" i="3" s="1"/>
  <c r="B69" i="3"/>
  <c r="A69" i="3"/>
  <c r="M68" i="3"/>
  <c r="L68" i="3"/>
  <c r="K68" i="3"/>
  <c r="J68" i="3"/>
  <c r="I68" i="3"/>
  <c r="H68" i="3"/>
  <c r="G68" i="3"/>
  <c r="F68" i="3"/>
  <c r="E68" i="3"/>
  <c r="D68" i="3"/>
  <c r="C68" i="3"/>
  <c r="B68" i="3"/>
  <c r="A68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M65" i="3"/>
  <c r="L65" i="3"/>
  <c r="K65" i="3"/>
  <c r="J65" i="3"/>
  <c r="I65" i="3"/>
  <c r="H65" i="3"/>
  <c r="G65" i="3"/>
  <c r="F65" i="3"/>
  <c r="D65" i="3"/>
  <c r="C65" i="3"/>
  <c r="E65" i="3" s="1"/>
  <c r="B65" i="3"/>
  <c r="A65" i="3"/>
  <c r="M64" i="3"/>
  <c r="L64" i="3"/>
  <c r="K64" i="3"/>
  <c r="J64" i="3"/>
  <c r="I64" i="3"/>
  <c r="H64" i="3"/>
  <c r="G64" i="3"/>
  <c r="F64" i="3"/>
  <c r="C64" i="3"/>
  <c r="E64" i="3" s="1"/>
  <c r="B64" i="3"/>
  <c r="A64" i="3"/>
  <c r="M63" i="3"/>
  <c r="L63" i="3"/>
  <c r="K63" i="3"/>
  <c r="J63" i="3"/>
  <c r="I63" i="3"/>
  <c r="H63" i="3"/>
  <c r="G63" i="3"/>
  <c r="F63" i="3"/>
  <c r="C63" i="3"/>
  <c r="E63" i="3" s="1"/>
  <c r="B63" i="3"/>
  <c r="A63" i="3"/>
  <c r="M62" i="3"/>
  <c r="L62" i="3"/>
  <c r="K62" i="3"/>
  <c r="J62" i="3"/>
  <c r="I62" i="3"/>
  <c r="H62" i="3"/>
  <c r="G62" i="3"/>
  <c r="F62" i="3"/>
  <c r="E62" i="3"/>
  <c r="C62" i="3"/>
  <c r="D62" i="3" s="1"/>
  <c r="B62" i="3"/>
  <c r="A62" i="3"/>
  <c r="M61" i="3"/>
  <c r="L61" i="3"/>
  <c r="K61" i="3"/>
  <c r="J61" i="3"/>
  <c r="I61" i="3"/>
  <c r="H61" i="3"/>
  <c r="G61" i="3"/>
  <c r="F61" i="3"/>
  <c r="E61" i="3"/>
  <c r="C61" i="3"/>
  <c r="D61" i="3" s="1"/>
  <c r="B61" i="3"/>
  <c r="A61" i="3"/>
  <c r="M60" i="3"/>
  <c r="L60" i="3"/>
  <c r="K60" i="3"/>
  <c r="J60" i="3"/>
  <c r="I60" i="3"/>
  <c r="H60" i="3"/>
  <c r="G60" i="3"/>
  <c r="F60" i="3"/>
  <c r="E60" i="3"/>
  <c r="C60" i="3"/>
  <c r="D60" i="3" s="1"/>
  <c r="B60" i="3"/>
  <c r="A60" i="3"/>
  <c r="M59" i="3"/>
  <c r="L59" i="3"/>
  <c r="K59" i="3"/>
  <c r="J59" i="3"/>
  <c r="I59" i="3"/>
  <c r="H59" i="3"/>
  <c r="G59" i="3"/>
  <c r="F59" i="3"/>
  <c r="D59" i="3"/>
  <c r="C59" i="3"/>
  <c r="E59" i="3" s="1"/>
  <c r="B59" i="3"/>
  <c r="A59" i="3"/>
  <c r="M58" i="3"/>
  <c r="L58" i="3"/>
  <c r="K58" i="3"/>
  <c r="J58" i="3"/>
  <c r="I58" i="3"/>
  <c r="H58" i="3"/>
  <c r="G58" i="3"/>
  <c r="F58" i="3"/>
  <c r="C58" i="3"/>
  <c r="E58" i="3" s="1"/>
  <c r="B58" i="3"/>
  <c r="A58" i="3"/>
  <c r="M57" i="3"/>
  <c r="L57" i="3"/>
  <c r="K57" i="3"/>
  <c r="J57" i="3"/>
  <c r="I57" i="3"/>
  <c r="H57" i="3"/>
  <c r="G57" i="3"/>
  <c r="F57" i="3"/>
  <c r="D57" i="3"/>
  <c r="C57" i="3"/>
  <c r="E57" i="3" s="1"/>
  <c r="B57" i="3"/>
  <c r="A57" i="3"/>
  <c r="M56" i="3"/>
  <c r="L56" i="3"/>
  <c r="K56" i="3"/>
  <c r="J56" i="3"/>
  <c r="I56" i="3"/>
  <c r="H56" i="3"/>
  <c r="G56" i="3"/>
  <c r="F56" i="3"/>
  <c r="C56" i="3"/>
  <c r="E56" i="3" s="1"/>
  <c r="B56" i="3"/>
  <c r="A56" i="3"/>
  <c r="M55" i="3"/>
  <c r="L55" i="3"/>
  <c r="K55" i="3"/>
  <c r="J55" i="3"/>
  <c r="I55" i="3"/>
  <c r="H55" i="3"/>
  <c r="G55" i="3"/>
  <c r="F55" i="3"/>
  <c r="C55" i="3"/>
  <c r="D55" i="3" s="1"/>
  <c r="B55" i="3"/>
  <c r="A55" i="3"/>
  <c r="M54" i="3"/>
  <c r="L54" i="3"/>
  <c r="K54" i="3"/>
  <c r="J54" i="3"/>
  <c r="I54" i="3"/>
  <c r="H54" i="3"/>
  <c r="G54" i="3"/>
  <c r="F54" i="3"/>
  <c r="C54" i="3"/>
  <c r="E54" i="3" s="1"/>
  <c r="B54" i="3"/>
  <c r="A54" i="3"/>
  <c r="M53" i="3"/>
  <c r="L53" i="3"/>
  <c r="K53" i="3"/>
  <c r="J53" i="3"/>
  <c r="I53" i="3"/>
  <c r="H53" i="3"/>
  <c r="G53" i="3"/>
  <c r="F53" i="3"/>
  <c r="C53" i="3"/>
  <c r="D53" i="3" s="1"/>
  <c r="B53" i="3"/>
  <c r="A53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M50" i="3"/>
  <c r="L50" i="3"/>
  <c r="K50" i="3"/>
  <c r="J50" i="3"/>
  <c r="I50" i="3"/>
  <c r="H50" i="3"/>
  <c r="G50" i="3"/>
  <c r="F50" i="3"/>
  <c r="E50" i="3"/>
  <c r="D50" i="3"/>
  <c r="C50" i="3"/>
  <c r="B50" i="3"/>
  <c r="A50" i="3"/>
  <c r="M49" i="3"/>
  <c r="L49" i="3"/>
  <c r="K49" i="3"/>
  <c r="J49" i="3"/>
  <c r="I49" i="3"/>
  <c r="H49" i="3"/>
  <c r="G49" i="3"/>
  <c r="F49" i="3"/>
  <c r="D49" i="3"/>
  <c r="C49" i="3"/>
  <c r="E49" i="3" s="1"/>
  <c r="B49" i="3"/>
  <c r="A49" i="3"/>
  <c r="M48" i="3"/>
  <c r="L48" i="3"/>
  <c r="K48" i="3"/>
  <c r="J48" i="3"/>
  <c r="I48" i="3"/>
  <c r="H48" i="3"/>
  <c r="G48" i="3"/>
  <c r="F48" i="3"/>
  <c r="C48" i="3"/>
  <c r="E48" i="3" s="1"/>
  <c r="B48" i="3"/>
  <c r="A48" i="3"/>
  <c r="M47" i="3"/>
  <c r="L47" i="3"/>
  <c r="K47" i="3"/>
  <c r="J47" i="3"/>
  <c r="I47" i="3"/>
  <c r="H47" i="3"/>
  <c r="G47" i="3"/>
  <c r="F47" i="3"/>
  <c r="C47" i="3"/>
  <c r="E47" i="3" s="1"/>
  <c r="B47" i="3"/>
  <c r="A47" i="3"/>
  <c r="M46" i="3"/>
  <c r="L46" i="3"/>
  <c r="K46" i="3"/>
  <c r="J46" i="3"/>
  <c r="I46" i="3"/>
  <c r="H46" i="3"/>
  <c r="G46" i="3"/>
  <c r="F46" i="3"/>
  <c r="E46" i="3"/>
  <c r="C46" i="3"/>
  <c r="D46" i="3" s="1"/>
  <c r="B46" i="3"/>
  <c r="A46" i="3"/>
  <c r="M45" i="3"/>
  <c r="L45" i="3"/>
  <c r="K45" i="3"/>
  <c r="J45" i="3"/>
  <c r="I45" i="3"/>
  <c r="H45" i="3"/>
  <c r="G45" i="3"/>
  <c r="F45" i="3"/>
  <c r="E45" i="3"/>
  <c r="C45" i="3"/>
  <c r="D45" i="3" s="1"/>
  <c r="B45" i="3"/>
  <c r="A45" i="3"/>
  <c r="M44" i="3"/>
  <c r="L44" i="3"/>
  <c r="K44" i="3"/>
  <c r="J44" i="3"/>
  <c r="I44" i="3"/>
  <c r="H44" i="3"/>
  <c r="G44" i="3"/>
  <c r="F44" i="3"/>
  <c r="E44" i="3"/>
  <c r="C44" i="3"/>
  <c r="D44" i="3" s="1"/>
  <c r="B44" i="3"/>
  <c r="A44" i="3"/>
  <c r="M43" i="3"/>
  <c r="L43" i="3"/>
  <c r="K43" i="3"/>
  <c r="J43" i="3"/>
  <c r="I43" i="3"/>
  <c r="H43" i="3"/>
  <c r="G43" i="3"/>
  <c r="F43" i="3"/>
  <c r="D43" i="3"/>
  <c r="C43" i="3"/>
  <c r="E43" i="3" s="1"/>
  <c r="B43" i="3"/>
  <c r="A43" i="3"/>
  <c r="M42" i="3"/>
  <c r="L42" i="3"/>
  <c r="K42" i="3"/>
  <c r="J42" i="3"/>
  <c r="I42" i="3"/>
  <c r="H42" i="3"/>
  <c r="G42" i="3"/>
  <c r="F42" i="3"/>
  <c r="C42" i="3"/>
  <c r="E42" i="3" s="1"/>
  <c r="B42" i="3"/>
  <c r="A42" i="3"/>
  <c r="M41" i="3"/>
  <c r="L41" i="3"/>
  <c r="K41" i="3"/>
  <c r="J41" i="3"/>
  <c r="I41" i="3"/>
  <c r="H41" i="3"/>
  <c r="G41" i="3"/>
  <c r="F41" i="3"/>
  <c r="D41" i="3"/>
  <c r="C41" i="3"/>
  <c r="E41" i="3" s="1"/>
  <c r="B41" i="3"/>
  <c r="A41" i="3"/>
  <c r="M40" i="3"/>
  <c r="L40" i="3"/>
  <c r="K40" i="3"/>
  <c r="J40" i="3"/>
  <c r="I40" i="3"/>
  <c r="H40" i="3"/>
  <c r="G40" i="3"/>
  <c r="F40" i="3"/>
  <c r="C40" i="3"/>
  <c r="E40" i="3" s="1"/>
  <c r="B40" i="3"/>
  <c r="A40" i="3"/>
  <c r="M39" i="3"/>
  <c r="L39" i="3"/>
  <c r="K39" i="3"/>
  <c r="J39" i="3"/>
  <c r="I39" i="3"/>
  <c r="H39" i="3"/>
  <c r="G39" i="3"/>
  <c r="F39" i="3"/>
  <c r="C39" i="3"/>
  <c r="E39" i="3" s="1"/>
  <c r="B39" i="3"/>
  <c r="A39" i="3"/>
  <c r="M38" i="3"/>
  <c r="L38" i="3"/>
  <c r="K38" i="3"/>
  <c r="J38" i="3"/>
  <c r="I38" i="3"/>
  <c r="H38" i="3"/>
  <c r="G38" i="3"/>
  <c r="F38" i="3"/>
  <c r="C38" i="3"/>
  <c r="E38" i="3" s="1"/>
  <c r="B38" i="3"/>
  <c r="A38" i="3"/>
  <c r="M37" i="3"/>
  <c r="L37" i="3"/>
  <c r="K37" i="3"/>
  <c r="J37" i="3"/>
  <c r="I37" i="3"/>
  <c r="H37" i="3"/>
  <c r="G37" i="3"/>
  <c r="F37" i="3"/>
  <c r="C37" i="3"/>
  <c r="D37" i="3" s="1"/>
  <c r="B37" i="3"/>
  <c r="A37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M33" i="3"/>
  <c r="L33" i="3"/>
  <c r="K33" i="3"/>
  <c r="J33" i="3"/>
  <c r="I33" i="3"/>
  <c r="H33" i="3"/>
  <c r="G33" i="3"/>
  <c r="F33" i="3"/>
  <c r="D33" i="3"/>
  <c r="C33" i="3"/>
  <c r="E33" i="3" s="1"/>
  <c r="B33" i="3"/>
  <c r="A33" i="3"/>
  <c r="M32" i="3"/>
  <c r="L32" i="3"/>
  <c r="K32" i="3"/>
  <c r="J32" i="3"/>
  <c r="I32" i="3"/>
  <c r="H32" i="3"/>
  <c r="G32" i="3"/>
  <c r="F32" i="3"/>
  <c r="C32" i="3"/>
  <c r="E32" i="3" s="1"/>
  <c r="B32" i="3"/>
  <c r="A32" i="3"/>
  <c r="M31" i="3"/>
  <c r="L31" i="3"/>
  <c r="K31" i="3"/>
  <c r="J31" i="3"/>
  <c r="I31" i="3"/>
  <c r="H31" i="3"/>
  <c r="G31" i="3"/>
  <c r="F31" i="3"/>
  <c r="C31" i="3"/>
  <c r="E31" i="3" s="1"/>
  <c r="B31" i="3"/>
  <c r="A31" i="3"/>
  <c r="M30" i="3"/>
  <c r="L30" i="3"/>
  <c r="K30" i="3"/>
  <c r="J30" i="3"/>
  <c r="I30" i="3"/>
  <c r="H30" i="3"/>
  <c r="G30" i="3"/>
  <c r="F30" i="3"/>
  <c r="E30" i="3"/>
  <c r="C30" i="3"/>
  <c r="D30" i="3" s="1"/>
  <c r="B30" i="3"/>
  <c r="A30" i="3"/>
  <c r="M29" i="3"/>
  <c r="L29" i="3"/>
  <c r="K29" i="3"/>
  <c r="J29" i="3"/>
  <c r="I29" i="3"/>
  <c r="H29" i="3"/>
  <c r="G29" i="3"/>
  <c r="F29" i="3"/>
  <c r="E29" i="3"/>
  <c r="C29" i="3"/>
  <c r="D29" i="3" s="1"/>
  <c r="B29" i="3"/>
  <c r="A29" i="3"/>
  <c r="M28" i="3"/>
  <c r="L28" i="3"/>
  <c r="K28" i="3"/>
  <c r="J28" i="3"/>
  <c r="I28" i="3"/>
  <c r="H28" i="3"/>
  <c r="G28" i="3"/>
  <c r="F28" i="3"/>
  <c r="E28" i="3"/>
  <c r="C28" i="3"/>
  <c r="D28" i="3" s="1"/>
  <c r="B28" i="3"/>
  <c r="A28" i="3"/>
  <c r="M27" i="3"/>
  <c r="L27" i="3"/>
  <c r="K27" i="3"/>
  <c r="J27" i="3"/>
  <c r="I27" i="3"/>
  <c r="H27" i="3"/>
  <c r="G27" i="3"/>
  <c r="F27" i="3"/>
  <c r="D27" i="3"/>
  <c r="C27" i="3"/>
  <c r="E27" i="3" s="1"/>
  <c r="B27" i="3"/>
  <c r="A27" i="3"/>
  <c r="M26" i="3"/>
  <c r="L26" i="3"/>
  <c r="K26" i="3"/>
  <c r="J26" i="3"/>
  <c r="I26" i="3"/>
  <c r="H26" i="3"/>
  <c r="G26" i="3"/>
  <c r="F26" i="3"/>
  <c r="C26" i="3"/>
  <c r="E26" i="3" s="1"/>
  <c r="B26" i="3"/>
  <c r="A26" i="3"/>
  <c r="M25" i="3"/>
  <c r="L25" i="3"/>
  <c r="K25" i="3"/>
  <c r="J25" i="3"/>
  <c r="I25" i="3"/>
  <c r="H25" i="3"/>
  <c r="G25" i="3"/>
  <c r="F25" i="3"/>
  <c r="D25" i="3"/>
  <c r="C25" i="3"/>
  <c r="E25" i="3" s="1"/>
  <c r="B25" i="3"/>
  <c r="A25" i="3"/>
  <c r="M24" i="3"/>
  <c r="L24" i="3"/>
  <c r="K24" i="3"/>
  <c r="J24" i="3"/>
  <c r="I24" i="3"/>
  <c r="H24" i="3"/>
  <c r="G24" i="3"/>
  <c r="F24" i="3"/>
  <c r="C24" i="3"/>
  <c r="E24" i="3" s="1"/>
  <c r="B24" i="3"/>
  <c r="A24" i="3"/>
  <c r="M23" i="3"/>
  <c r="L23" i="3"/>
  <c r="K23" i="3"/>
  <c r="J23" i="3"/>
  <c r="I23" i="3"/>
  <c r="H23" i="3"/>
  <c r="G23" i="3"/>
  <c r="F23" i="3"/>
  <c r="C23" i="3"/>
  <c r="D23" i="3" s="1"/>
  <c r="B23" i="3"/>
  <c r="A23" i="3"/>
  <c r="M22" i="3"/>
  <c r="L22" i="3"/>
  <c r="K22" i="3"/>
  <c r="J22" i="3"/>
  <c r="I22" i="3"/>
  <c r="H22" i="3"/>
  <c r="G22" i="3"/>
  <c r="F22" i="3"/>
  <c r="C22" i="3"/>
  <c r="E22" i="3" s="1"/>
  <c r="B22" i="3"/>
  <c r="A22" i="3"/>
  <c r="M21" i="3"/>
  <c r="L21" i="3"/>
  <c r="K21" i="3"/>
  <c r="J21" i="3"/>
  <c r="I21" i="3"/>
  <c r="H21" i="3"/>
  <c r="G21" i="3"/>
  <c r="F21" i="3"/>
  <c r="C21" i="3"/>
  <c r="D21" i="3" s="1"/>
  <c r="B21" i="3"/>
  <c r="A21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M17" i="3"/>
  <c r="L17" i="3"/>
  <c r="K17" i="3"/>
  <c r="J17" i="3"/>
  <c r="I17" i="3"/>
  <c r="H17" i="3"/>
  <c r="G17" i="3"/>
  <c r="F17" i="3"/>
  <c r="D17" i="3"/>
  <c r="C17" i="3"/>
  <c r="E17" i="3" s="1"/>
  <c r="B17" i="3"/>
  <c r="A17" i="3"/>
  <c r="M16" i="3"/>
  <c r="L16" i="3"/>
  <c r="K16" i="3"/>
  <c r="I305" i="3" s="1"/>
  <c r="J16" i="3"/>
  <c r="I16" i="3"/>
  <c r="H16" i="3"/>
  <c r="G16" i="3"/>
  <c r="F16" i="3"/>
  <c r="C16" i="3"/>
  <c r="E16" i="3" s="1"/>
  <c r="B16" i="3"/>
  <c r="A16" i="3"/>
  <c r="M15" i="3"/>
  <c r="L15" i="3"/>
  <c r="K15" i="3"/>
  <c r="J15" i="3"/>
  <c r="I15" i="3"/>
  <c r="H15" i="3"/>
  <c r="G15" i="3"/>
  <c r="F15" i="3"/>
  <c r="C15" i="3"/>
  <c r="E15" i="3" s="1"/>
  <c r="B15" i="3"/>
  <c r="A15" i="3"/>
  <c r="M14" i="3"/>
  <c r="L14" i="3"/>
  <c r="K14" i="3"/>
  <c r="J14" i="3"/>
  <c r="I14" i="3"/>
  <c r="H14" i="3"/>
  <c r="G14" i="3"/>
  <c r="F14" i="3"/>
  <c r="E14" i="3"/>
  <c r="C14" i="3"/>
  <c r="D14" i="3" s="1"/>
  <c r="B14" i="3"/>
  <c r="A14" i="3"/>
  <c r="M13" i="3"/>
  <c r="L13" i="3"/>
  <c r="K13" i="3"/>
  <c r="J13" i="3"/>
  <c r="I13" i="3"/>
  <c r="H13" i="3"/>
  <c r="G13" i="3"/>
  <c r="F13" i="3"/>
  <c r="E13" i="3"/>
  <c r="C13" i="3"/>
  <c r="D13" i="3" s="1"/>
  <c r="B13" i="3"/>
  <c r="A13" i="3"/>
  <c r="M12" i="3"/>
  <c r="L12" i="3"/>
  <c r="K12" i="3"/>
  <c r="J12" i="3"/>
  <c r="I12" i="3"/>
  <c r="H12" i="3"/>
  <c r="G12" i="3"/>
  <c r="F12" i="3"/>
  <c r="E12" i="3"/>
  <c r="C12" i="3"/>
  <c r="D12" i="3" s="1"/>
  <c r="B12" i="3"/>
  <c r="A12" i="3"/>
  <c r="M11" i="3"/>
  <c r="L11" i="3"/>
  <c r="K11" i="3"/>
  <c r="J11" i="3"/>
  <c r="I11" i="3"/>
  <c r="H11" i="3"/>
  <c r="G11" i="3"/>
  <c r="F11" i="3"/>
  <c r="D11" i="3"/>
  <c r="C11" i="3"/>
  <c r="E11" i="3" s="1"/>
  <c r="B11" i="3"/>
  <c r="A11" i="3"/>
  <c r="M10" i="3"/>
  <c r="L10" i="3"/>
  <c r="K10" i="3"/>
  <c r="J10" i="3"/>
  <c r="I10" i="3"/>
  <c r="H10" i="3"/>
  <c r="G10" i="3"/>
  <c r="F10" i="3"/>
  <c r="C10" i="3"/>
  <c r="D10" i="3" s="1"/>
  <c r="B10" i="3"/>
  <c r="A10" i="3"/>
  <c r="M9" i="3"/>
  <c r="L9" i="3"/>
  <c r="B308" i="3" s="1"/>
  <c r="K9" i="3"/>
  <c r="J9" i="3"/>
  <c r="I9" i="3"/>
  <c r="H9" i="3"/>
  <c r="G9" i="3"/>
  <c r="F9" i="3"/>
  <c r="D9" i="3"/>
  <c r="C9" i="3"/>
  <c r="E9" i="3" s="1"/>
  <c r="B9" i="3"/>
  <c r="A9" i="3"/>
  <c r="M8" i="3"/>
  <c r="L8" i="3"/>
  <c r="K8" i="3"/>
  <c r="J8" i="3"/>
  <c r="I8" i="3"/>
  <c r="H8" i="3"/>
  <c r="G8" i="3"/>
  <c r="F8" i="3"/>
  <c r="C8" i="3"/>
  <c r="E8" i="3" s="1"/>
  <c r="B8" i="3"/>
  <c r="A8" i="3"/>
  <c r="M7" i="3"/>
  <c r="L7" i="3"/>
  <c r="K7" i="3"/>
  <c r="J7" i="3"/>
  <c r="I7" i="3"/>
  <c r="H7" i="3"/>
  <c r="G7" i="3"/>
  <c r="F7" i="3"/>
  <c r="C7" i="3"/>
  <c r="D7" i="3" s="1"/>
  <c r="B7" i="3"/>
  <c r="A7" i="3"/>
  <c r="M6" i="3"/>
  <c r="L6" i="3"/>
  <c r="K6" i="3"/>
  <c r="J6" i="3"/>
  <c r="I6" i="3"/>
  <c r="H6" i="3"/>
  <c r="G6" i="3"/>
  <c r="F6" i="3"/>
  <c r="C6" i="3"/>
  <c r="E6" i="3" s="1"/>
  <c r="B6" i="3"/>
  <c r="E303" i="3" s="1"/>
  <c r="A6" i="3"/>
  <c r="M5" i="3"/>
  <c r="B309" i="3" s="1"/>
  <c r="L5" i="3"/>
  <c r="K5" i="3"/>
  <c r="I304" i="3" s="1"/>
  <c r="J5" i="3"/>
  <c r="B306" i="3" s="1"/>
  <c r="B305" i="3"/>
  <c r="H5" i="3"/>
  <c r="G5" i="3"/>
  <c r="F5" i="3"/>
  <c r="B307" i="3" s="1"/>
  <c r="C5" i="3"/>
  <c r="D5" i="3" s="1"/>
  <c r="B5" i="3"/>
  <c r="F305" i="3" s="1"/>
  <c r="A5" i="3"/>
  <c r="B304" i="3" s="1"/>
  <c r="M4" i="3"/>
  <c r="L4" i="3"/>
  <c r="K4" i="3"/>
  <c r="J4" i="3"/>
  <c r="I4" i="3"/>
  <c r="H4" i="3"/>
  <c r="G4" i="3"/>
  <c r="F4" i="3"/>
  <c r="E4" i="3"/>
  <c r="D4" i="3"/>
  <c r="C4" i="3"/>
  <c r="B4" i="3"/>
  <c r="A4" i="3"/>
  <c r="D39" i="3" l="1"/>
  <c r="D71" i="3"/>
  <c r="E7" i="3"/>
  <c r="E23" i="3"/>
  <c r="E55" i="3"/>
  <c r="E87" i="3"/>
  <c r="E103" i="3"/>
  <c r="E119" i="3"/>
  <c r="E135" i="3"/>
  <c r="E151" i="3"/>
  <c r="E167" i="3"/>
  <c r="E183" i="3"/>
  <c r="E199" i="3"/>
  <c r="E215" i="3"/>
  <c r="E231" i="3"/>
  <c r="E247" i="3"/>
  <c r="E263" i="3"/>
  <c r="E279" i="3"/>
  <c r="E295" i="3"/>
  <c r="B303" i="3"/>
  <c r="D6" i="3"/>
  <c r="D22" i="3"/>
  <c r="D38" i="3"/>
  <c r="D54" i="3"/>
  <c r="D70" i="3"/>
  <c r="D86" i="3"/>
  <c r="D102" i="3"/>
  <c r="D118" i="3"/>
  <c r="D134" i="3"/>
  <c r="D150" i="3"/>
  <c r="D166" i="3"/>
  <c r="D182" i="3"/>
  <c r="D198" i="3"/>
  <c r="D214" i="3"/>
  <c r="D230" i="3"/>
  <c r="D246" i="3"/>
  <c r="D262" i="3"/>
  <c r="D278" i="3"/>
  <c r="D294" i="3"/>
  <c r="F303" i="3"/>
  <c r="I303" i="3"/>
  <c r="F314" i="3"/>
  <c r="D16" i="3"/>
  <c r="D64" i="3"/>
  <c r="D80" i="3"/>
  <c r="D96" i="3"/>
  <c r="D112" i="3"/>
  <c r="D128" i="3"/>
  <c r="D144" i="3"/>
  <c r="D160" i="3"/>
  <c r="D176" i="3"/>
  <c r="D192" i="3"/>
  <c r="D208" i="3"/>
  <c r="D224" i="3"/>
  <c r="D240" i="3"/>
  <c r="D256" i="3"/>
  <c r="D272" i="3"/>
  <c r="D288" i="3"/>
  <c r="E304" i="3"/>
  <c r="F315" i="3"/>
  <c r="D48" i="3"/>
  <c r="E5" i="3"/>
  <c r="E21" i="3"/>
  <c r="D26" i="3"/>
  <c r="E37" i="3"/>
  <c r="D42" i="3"/>
  <c r="E53" i="3"/>
  <c r="D58" i="3"/>
  <c r="E69" i="3"/>
  <c r="D74" i="3"/>
  <c r="D90" i="3"/>
  <c r="D106" i="3"/>
  <c r="D122" i="3"/>
  <c r="D138" i="3"/>
  <c r="D154" i="3"/>
  <c r="D170" i="3"/>
  <c r="D186" i="3"/>
  <c r="D202" i="3"/>
  <c r="D218" i="3"/>
  <c r="D234" i="3"/>
  <c r="D250" i="3"/>
  <c r="D266" i="3"/>
  <c r="D282" i="3"/>
  <c r="D298" i="3"/>
  <c r="F304" i="3"/>
  <c r="D32" i="3"/>
  <c r="E10" i="3"/>
  <c r="D15" i="3"/>
  <c r="D31" i="3"/>
  <c r="D47" i="3"/>
  <c r="D63" i="3"/>
  <c r="D79" i="3"/>
  <c r="D95" i="3"/>
  <c r="D111" i="3"/>
  <c r="D127" i="3"/>
  <c r="D143" i="3"/>
  <c r="D159" i="3"/>
  <c r="D175" i="3"/>
  <c r="D191" i="3"/>
  <c r="D207" i="3"/>
  <c r="D223" i="3"/>
  <c r="D239" i="3"/>
  <c r="D255" i="3"/>
  <c r="D271" i="3"/>
  <c r="D287" i="3"/>
  <c r="F316" i="3"/>
  <c r="E305" i="3"/>
  <c r="D136" i="3"/>
  <c r="D152" i="3"/>
  <c r="D168" i="3"/>
  <c r="D184" i="3"/>
  <c r="D200" i="3"/>
  <c r="D216" i="3"/>
  <c r="D232" i="3"/>
  <c r="D248" i="3"/>
  <c r="D264" i="3"/>
  <c r="D280" i="3"/>
  <c r="D296" i="3"/>
  <c r="D8" i="3"/>
  <c r="D24" i="3"/>
  <c r="D40" i="3"/>
  <c r="D56" i="3"/>
  <c r="D72" i="3"/>
  <c r="D88" i="3"/>
  <c r="D104" i="3"/>
  <c r="D120" i="3"/>
  <c r="C324" i="3" l="1"/>
  <c r="C323" i="3"/>
  <c r="C322" i="3"/>
  <c r="C321" i="3"/>
  <c r="C320" i="3"/>
  <c r="C319" i="3"/>
  <c r="C318" i="3"/>
  <c r="C317" i="3"/>
  <c r="C316" i="3"/>
  <c r="C315" i="3"/>
  <c r="C314" i="3"/>
  <c r="C313" i="3"/>
</calcChain>
</file>

<file path=xl/sharedStrings.xml><?xml version="1.0" encoding="utf-8"?>
<sst xmlns="http://schemas.openxmlformats.org/spreadsheetml/2006/main" count="2061" uniqueCount="365">
  <si>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</si>
  <si>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</si>
  <si>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</si>
  <si>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</si>
  <si>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</si>
  <si>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</si>
  <si>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</si>
  <si>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</si>
  <si>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</si>
  <si>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</si>
  <si>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</si>
  <si>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</si>
  <si>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</si>
  <si>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</si>
  <si>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</si>
  <si>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</si>
  <si>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</si>
  <si>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</si>
  <si>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</si>
  <si>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</si>
  <si>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</si>
  <si>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</si>
  <si>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</si>
  <si>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</si>
  <si>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</si>
  <si>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</si>
  <si>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</si>
  <si>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</si>
  <si>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</si>
  <si>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</si>
  <si>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</si>
  <si>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</si>
  <si>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</si>
  <si>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</si>
  <si>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</si>
  <si>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</si>
  <si>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</si>
  <si>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</si>
  <si>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</si>
  <si>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</si>
  <si>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</si>
  <si>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</si>
  <si>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</si>
  <si>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</si>
  <si>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</si>
  <si>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</si>
  <si>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</si>
  <si>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</si>
  <si>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</si>
  <si>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</si>
  <si>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</si>
  <si>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</si>
  <si>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</si>
  <si>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</si>
  <si>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</si>
  <si>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</si>
  <si>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</si>
  <si>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</si>
  <si>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</si>
  <si>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</si>
  <si>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</si>
  <si>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</si>
  <si>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</si>
  <si>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</si>
  <si>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</si>
  <si>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</si>
  <si>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</si>
  <si>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</si>
  <si>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</si>
  <si>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</si>
  <si>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</si>
  <si>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</si>
  <si>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</si>
  <si>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</si>
  <si>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</si>
  <si>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</si>
  <si>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</si>
  <si>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</si>
  <si>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</si>
  <si>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</si>
  <si>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</si>
  <si>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</si>
  <si>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</si>
  <si>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</si>
  <si>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</si>
  <si>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</si>
  <si>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</si>
  <si>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</si>
  <si>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</si>
  <si>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</si>
  <si>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</si>
  <si>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</si>
  <si>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</si>
  <si>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</si>
  <si>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</si>
  <si>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</si>
  <si>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</si>
  <si>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</si>
  <si>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</si>
  <si>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</si>
  <si>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</si>
  <si>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</si>
  <si>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</si>
  <si>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</si>
  <si>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</si>
  <si>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</si>
  <si>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</si>
  <si>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</si>
  <si>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</si>
  <si>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</si>
  <si>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</si>
  <si>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</si>
  <si>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</si>
  <si>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</si>
  <si>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</si>
  <si>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</si>
  <si>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</si>
  <si>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</si>
  <si>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</si>
  <si>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</si>
  <si>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</si>
  <si>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</si>
  <si>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</si>
  <si>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</si>
  <si>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</si>
  <si>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</si>
  <si>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</si>
  <si>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</si>
  <si>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</si>
  <si>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</si>
  <si>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</si>
  <si>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</si>
  <si>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</si>
  <si>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</si>
  <si>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</si>
  <si>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</si>
  <si>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</si>
  <si>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</si>
  <si>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</si>
  <si>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</si>
  <si>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</si>
  <si>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</si>
  <si>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</si>
  <si>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</si>
  <si>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</si>
  <si>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</si>
  <si>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</si>
  <si>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</si>
  <si>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</si>
  <si>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</si>
  <si>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</si>
  <si>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</si>
  <si>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</si>
  <si>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</si>
  <si>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</si>
  <si>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</si>
  <si>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</si>
  <si>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</si>
  <si>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</si>
  <si>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</si>
  <si>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</si>
  <si>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</si>
  <si>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</si>
  <si>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</si>
  <si>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</si>
  <si>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</si>
  <si>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</si>
  <si>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</si>
  <si>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</si>
  <si>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</si>
  <si>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</si>
  <si>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</si>
  <si>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</si>
  <si>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</si>
  <si>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</si>
  <si>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</si>
  <si>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</si>
  <si>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</si>
  <si>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</si>
  <si>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</si>
  <si>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</si>
  <si>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</si>
  <si>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</si>
  <si>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</si>
  <si>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</si>
  <si>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</si>
  <si>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</si>
  <si>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</si>
  <si>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</si>
  <si>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</si>
  <si>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</si>
  <si>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</si>
  <si>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</si>
  <si>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</si>
  <si>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</si>
  <si>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</si>
  <si>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</si>
  <si>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</si>
  <si>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</si>
  <si>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</si>
  <si>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</si>
  <si>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</si>
  <si>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</si>
  <si>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</si>
  <si>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</si>
  <si>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</si>
  <si>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</si>
  <si>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</si>
  <si>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</si>
  <si>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</si>
  <si>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</si>
  <si>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</si>
  <si>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</si>
  <si>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</si>
  <si>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</si>
  <si>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</si>
  <si>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</si>
  <si>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</si>
  <si>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</si>
  <si>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</si>
  <si>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</si>
  <si>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</si>
  <si>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</si>
  <si>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</si>
  <si>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</si>
  <si>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</si>
  <si>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</si>
  <si>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</si>
  <si>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</si>
  <si>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</si>
  <si>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</si>
  <si>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</si>
  <si>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</si>
  <si>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</si>
  <si>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</si>
  <si>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</si>
  <si>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</si>
  <si>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</si>
  <si>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</si>
  <si>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</si>
  <si>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</si>
  <si>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</si>
  <si>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</si>
  <si>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</si>
  <si>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</si>
  <si>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</si>
  <si>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</si>
  <si>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</si>
  <si>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</si>
  <si>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</si>
  <si>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</si>
  <si>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</si>
  <si>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</si>
  <si>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</si>
  <si>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</si>
  <si>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</si>
  <si>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</si>
  <si>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</si>
  <si>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</si>
  <si>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</si>
  <si>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</si>
  <si>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</si>
  <si>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</si>
  <si>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</si>
  <si>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</si>
  <si>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</si>
  <si>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</si>
  <si>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</si>
  <si>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</si>
  <si>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</si>
  <si>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</si>
  <si>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</si>
  <si>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</si>
  <si>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</si>
  <si>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</si>
  <si>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</si>
  <si>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</si>
  <si>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</si>
  <si>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</si>
  <si>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</si>
  <si>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</si>
  <si>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</si>
  <si>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</si>
  <si>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</si>
  <si>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</si>
  <si>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</si>
  <si>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</si>
  <si>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</si>
  <si>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</si>
  <si>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</si>
  <si>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</si>
  <si>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</si>
  <si>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</si>
  <si>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</si>
  <si>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</si>
  <si>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</si>
  <si>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</si>
  <si>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</si>
  <si>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</si>
  <si>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</si>
  <si>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</si>
  <si>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</si>
  <si>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Base tratada e métricas</t>
  </si>
  <si>
    <t>Mês</t>
  </si>
  <si>
    <t>Nº Mês</t>
  </si>
  <si>
    <t>Auto_Flag</t>
  </si>
  <si>
    <t>EA_Flag</t>
  </si>
  <si>
    <t>MC_Flag</t>
  </si>
  <si>
    <t>EA Revenue</t>
  </si>
  <si>
    <t>Minecraft Revenue</t>
  </si>
  <si>
    <t>KPIs</t>
  </si>
  <si>
    <t>Receita por Plano</t>
  </si>
  <si>
    <t>Assinantes por Tipo</t>
  </si>
  <si>
    <t>Receita Total</t>
  </si>
  <si>
    <t>Total de Assinantes</t>
  </si>
  <si>
    <t>Ticket Médio</t>
  </si>
  <si>
    <t>Cupons Concedidos</t>
  </si>
  <si>
    <t>% Auto Renewal</t>
  </si>
  <si>
    <t>Receita EA Play</t>
  </si>
  <si>
    <t>Receita Minecraft</t>
  </si>
  <si>
    <t>Receita Mensal</t>
  </si>
  <si>
    <t>Extras e Renovação</t>
  </si>
  <si>
    <t>Jan</t>
  </si>
  <si>
    <t>EA Play</t>
  </si>
  <si>
    <t>Feb</t>
  </si>
  <si>
    <t>Minecraft</t>
  </si>
  <si>
    <t>Mar</t>
  </si>
  <si>
    <t>Auto Yes</t>
  </si>
  <si>
    <t>Apr</t>
  </si>
  <si>
    <t>Auto No</t>
  </si>
  <si>
    <t>May</t>
  </si>
  <si>
    <t>Jun</t>
  </si>
  <si>
    <t>Jul</t>
  </si>
  <si>
    <t>Aug</t>
  </si>
  <si>
    <t>Sep</t>
  </si>
  <si>
    <t>Oct</t>
  </si>
  <si>
    <t>Nov</t>
  </si>
  <si>
    <t>Dec</t>
  </si>
  <si>
    <t>XBOX GAME PASS SALES DASHBOARD</t>
  </si>
  <si>
    <t>Painel executivo com foco em receita, planos, assinatura e monetização de extras</t>
  </si>
  <si>
    <t>Assinantes</t>
  </si>
  <si>
    <t>R$ 7.633</t>
  </si>
  <si>
    <t>295</t>
  </si>
  <si>
    <t>R$ 25,87</t>
  </si>
  <si>
    <t>50,2%</t>
  </si>
  <si>
    <t>Valor final pago pelos clientes</t>
  </si>
  <si>
    <t>Total de registros válidos</t>
  </si>
  <si>
    <t>Receita média por assinatura</t>
  </si>
  <si>
    <t>Clientes com renovação ativa</t>
  </si>
  <si>
    <t>Cupons</t>
  </si>
  <si>
    <t>Plano Líder</t>
  </si>
  <si>
    <t>R$ 2.122</t>
  </si>
  <si>
    <t>R$ 2.940</t>
  </si>
  <si>
    <t>R$ 3.880</t>
  </si>
  <si>
    <t>Descontos concedidos</t>
  </si>
  <si>
    <t>Maior receita no período</t>
  </si>
  <si>
    <t>Receita do extra EA Play</t>
  </si>
  <si>
    <t>Receita do add-on Minecraft</t>
  </si>
  <si>
    <t>Receita ao longo do ano</t>
  </si>
  <si>
    <t>Insights</t>
  </si>
  <si>
    <t>Receita por plano</t>
  </si>
  <si>
    <t>• O plano Ultimate concentra a maior parte da receita.
• A taxa de auto renewal está em 50%.
• Minecraft gera R$ 3.880, acima de EA Play.
• Outubro foi o pico de faturamento mensal.</t>
  </si>
  <si>
    <t>Mix de assinaturas</t>
  </si>
  <si>
    <t>Monetização de extras</t>
  </si>
  <si>
    <t>Renovação automática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</si>
</sst>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\R\$\ #,##0"/>
    <numFmt numFmtId="165" formatCode="\R\$\ #,##0.00"/>
    <numFmt numFmtId="166" formatCode="0.0%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5F7FA"/>
      <name val="Segoe UI"/>
    </font>
    <font>
      <b/>
      <sz val="11"/>
      <color rgb="FFFFFFFF"/>
      <name val="Segoe UI"/>
    </font>
    <font>
      <sz val="11"/>
      <color rgb="FFF5F7FA"/>
      <name val="Segoe UI"/>
    </font>
    <font>
      <b/>
      <sz val="11"/>
      <color rgb="FFF5F7FA"/>
      <name val="Segoe UI"/>
    </font>
    <font>
      <b/>
      <sz val="11"/>
      <color rgb="FF22C55E"/>
      <name val="Segoe UI"/>
    </font>
    <font>
      <b/>
      <sz val="22"/>
      <color rgb="FFF5F7FA"/>
      <name val="Segoe UI"/>
    </font>
    <font>
      <sz val="10"/>
      <color rgb="FFAAB2BF"/>
      <name val="Segoe UI"/>
    </font>
    <font>
      <b/>
      <sz val="10"/>
      <color rgb="FFAAB2BF"/>
      <name val="Segoe UI"/>
    </font>
    <font>
      <b/>
      <sz val="18"/>
      <color rgb="FFF5F7FA"/>
      <name val="Segoe UI"/>
    </font>
    <font>
      <sz val="9"/>
      <color rgb="FFAAB2BF"/>
      <name val="Segoe UI"/>
    </font>
    <font>
      <b/>
      <sz val="11"/>
      <color rgb="FFF5F7FA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115"/>
      </patternFill>
    </fill>
    <fill>
      <patternFill patternType="solid">
        <fgColor rgb="FF22C55E"/>
      </patternFill>
    </fill>
    <fill>
      <patternFill patternType="solid">
        <fgColor rgb="FF171A21"/>
      </patternFill>
    </fill>
    <fill>
      <patternFill patternType="solid">
        <fgColor rgb="FF1E232D"/>
      </patternFill>
    </fill>
  </fills>
  <borders count="11">
    <border>
      <left/>
      <right/>
      <top/>
      <bottom/>
      <diagonal/>
    </border>
    <border>
      <left style="thin">
        <color rgb="FF2A2F39"/>
      </left>
      <right style="thin">
        <color rgb="FF2A2F39"/>
      </right>
      <top style="thin">
        <color rgb="FF2A2F39"/>
      </top>
      <bottom style="thin">
        <color rgb="FF2A2F39"/>
      </bottom>
      <diagonal/>
    </border>
    <border>
      <left/>
      <right/>
      <top style="thin">
        <color rgb="FF2A2F39"/>
      </top>
      <bottom/>
      <diagonal/>
    </border>
    <border>
      <left/>
      <right style="thin">
        <color rgb="FF2A2F39"/>
      </right>
      <top style="thin">
        <color rgb="FF2A2F39"/>
      </top>
      <bottom/>
      <diagonal/>
    </border>
    <border>
      <left/>
      <right/>
      <top style="thin">
        <color rgb="FF2A2F39"/>
      </top>
      <bottom style="thin">
        <color rgb="FF2A2F39"/>
      </bottom>
      <diagonal/>
    </border>
    <border>
      <left/>
      <right style="thin">
        <color rgb="FF2A2F39"/>
      </right>
      <top style="thin">
        <color rgb="FF2A2F39"/>
      </top>
      <bottom style="thin">
        <color rgb="FF2A2F39"/>
      </bottom>
      <diagonal/>
    </border>
    <border>
      <left style="thin">
        <color rgb="FF2A2F39"/>
      </left>
      <right/>
      <top/>
      <bottom/>
      <diagonal/>
    </border>
    <border>
      <left/>
      <right style="thin">
        <color rgb="FF2A2F39"/>
      </right>
      <top/>
      <bottom/>
      <diagonal/>
    </border>
    <border>
      <left style="thin">
        <color rgb="FF2A2F39"/>
      </left>
      <right/>
      <top/>
      <bottom style="thin">
        <color rgb="FF2A2F39"/>
      </bottom>
      <diagonal/>
    </border>
    <border>
      <left/>
      <right/>
      <top/>
      <bottom style="thin">
        <color rgb="FF2A2F39"/>
      </bottom>
      <diagonal/>
    </border>
    <border>
      <left/>
      <right style="thin">
        <color rgb="FF2A2F39"/>
      </right>
      <top/>
      <bottom style="thin">
        <color rgb="FF2A2F39"/>
      </bottom>
      <diagonal/>
    </border>
  </borders>
  <cellStyleXfs count="2">
    <xf numFmtId="0" fontId="0" fillId="0" borderId="0"/>
    <xf numFmtId="44" fontId="1" fillId="0" borderId="0"/>
  </cellStyleXfs>
  <cellXfs count="4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3" fillId="2" borderId="0" xfId="0" applyFont="1" applyFill="1"/>
    <xf numFmtId="0" fontId="0" fillId="2" borderId="0" xfId="0" applyFill="1"/>
    <xf numFmtId="0" fontId="4" fillId="3" borderId="1" xfId="0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4" fillId="3" borderId="0" xfId="0" applyFont="1" applyFill="1"/>
    <xf numFmtId="0" fontId="6" fillId="4" borderId="1" xfId="0" applyFont="1" applyFill="1" applyBorder="1"/>
    <xf numFmtId="164" fontId="7" fillId="4" borderId="1" xfId="0" applyNumberFormat="1" applyFont="1" applyFill="1" applyBorder="1"/>
    <xf numFmtId="0" fontId="5" fillId="4" borderId="1" xfId="0" applyFont="1" applyFill="1" applyBorder="1"/>
    <xf numFmtId="0" fontId="7" fillId="4" borderId="1" xfId="0" applyFont="1" applyFill="1" applyBorder="1"/>
    <xf numFmtId="1" fontId="7" fillId="4" borderId="1" xfId="0" applyNumberFormat="1" applyFont="1" applyFill="1" applyBorder="1"/>
    <xf numFmtId="165" fontId="7" fillId="4" borderId="1" xfId="0" applyNumberFormat="1" applyFont="1" applyFill="1" applyBorder="1"/>
    <xf numFmtId="166" fontId="7" fillId="4" borderId="1" xfId="0" applyNumberFormat="1" applyFont="1" applyFill="1" applyBorder="1"/>
    <xf numFmtId="0" fontId="0" fillId="4" borderId="1" xfId="0" applyFill="1" applyBorder="1"/>
    <xf numFmtId="0" fontId="0" fillId="3" borderId="0" xfId="0" applyFill="1"/>
    <xf numFmtId="0" fontId="8" fillId="2" borderId="0" xfId="0" applyFont="1" applyFill="1" applyAlignment="1">
      <alignment vertical="center"/>
    </xf>
    <xf numFmtId="0" fontId="0" fillId="0" borderId="0" xfId="0"/>
    <xf numFmtId="0" fontId="13" fillId="4" borderId="1" xfId="0" applyFont="1" applyFill="1" applyBorder="1" applyAlignment="1">
      <alignment vertical="center"/>
    </xf>
    <xf numFmtId="0" fontId="0" fillId="0" borderId="4" xfId="0" applyBorder="1"/>
    <xf numFmtId="0" fontId="0" fillId="0" borderId="5" xfId="0" applyBorder="1"/>
    <xf numFmtId="0" fontId="11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0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center"/>
    </xf>
    <xf numFmtId="0" fontId="9" fillId="2" borderId="0" xfId="0" applyFont="1" applyFill="1"/>
    <xf numFmtId="0" fontId="13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top" wrapText="1"/>
    </xf>
    <xf numFmtId="0" fontId="0" fillId="0" borderId="6" xfId="0" applyBorder="1"/>
    <xf numFmtId="0" fontId="0" fillId="0" borderId="7" xfId="0" applyBorder="1"/>
  </cellXfs>
  <cellStyles count="2">
    <cellStyle name="Moeda" xfId="1" builtinId="4"/>
    <cellStyle name="Normal" xfId="0" builtinId="0"/>
  </cellStyles>
  <dxfs count="14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1809750" cy="6381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3810000" cy="2000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18</xdr:row>
      <xdr:rowOff>0</xdr:rowOff>
    </xdr:from>
    <xdr:ext cx="2286000" cy="2000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2381250" cy="1905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31</xdr:row>
      <xdr:rowOff>0</xdr:rowOff>
    </xdr:from>
    <xdr:ext cx="2857500" cy="1905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31</xdr:row>
      <xdr:rowOff>0</xdr:rowOff>
    </xdr:from>
    <xdr:ext cx="2000250" cy="1905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263769</xdr:colOff>
      <xdr:row>10</xdr:row>
      <xdr:rowOff>234461</xdr:rowOff>
    </xdr:from>
    <xdr:ext cx="457200" cy="4572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634654" y="3487615"/>
          <a:ext cx="457200" cy="457200"/>
        </a:xfrm>
        <a:prstGeom prst="rect">
          <a:avLst/>
        </a:prstGeom>
      </xdr:spPr>
    </xdr:pic>
    <xdr:clientData/>
  </xdr:oneCellAnchor>
  <xdr:oneCellAnchor>
    <xdr:from>
      <xdr:col>14</xdr:col>
      <xdr:colOff>622787</xdr:colOff>
      <xdr:row>11</xdr:row>
      <xdr:rowOff>21981</xdr:rowOff>
    </xdr:from>
    <xdr:ext cx="373673" cy="256442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1188210" y="3582866"/>
          <a:ext cx="373673" cy="25644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 dataDxfId="13">
  <autoFilter ref="A1:M296" xr:uid="{00000000-0009-0000-0100-000001000000}">
    <filterColumn colId="7">
      <filters>
        <filter val="Yes"/>
      </filters>
    </filterColumn>
  </autoFilter>
  <tableColumns count="13">
    <tableColumn id="1" xr3:uid="{00000000-0010-0000-0000-000001000000}" name="Subscriber ID" dataDxfId="12"/>
    <tableColumn id="2" xr3:uid="{00000000-0010-0000-0000-000002000000}" name="Name" dataDxfId="11"/>
    <tableColumn id="3" xr3:uid="{00000000-0010-0000-0000-000003000000}" name="Plan" dataDxfId="10"/>
    <tableColumn id="4" xr3:uid="{00000000-0010-0000-0000-000004000000}" name="Start Date" dataDxfId="9"/>
    <tableColumn id="5" xr3:uid="{00000000-0010-0000-0000-000005000000}" name="Auto Renewal" dataDxfId="8"/>
    <tableColumn id="6" xr3:uid="{00000000-0010-0000-0000-000006000000}" name="Subscription Price" dataDxfId="7" dataCellStyle="Moeda"/>
    <tableColumn id="7" xr3:uid="{00000000-0010-0000-0000-000007000000}" name="Subscription Type" dataDxfId="6"/>
    <tableColumn id="8" xr3:uid="{00000000-0010-0000-0000-000008000000}" name="EA Play Season Pass" dataDxfId="5"/>
    <tableColumn id="13" xr3:uid="{00000000-0010-0000-0000-00000D000000}" name="EA Play Season Pass_x000a_Price" dataDxfId="4" dataCellStyle="Moeda"/>
    <tableColumn id="9" xr3:uid="{00000000-0010-0000-0000-000009000000}" name="Minecraft Season Pass" dataDxfId="3"/>
    <tableColumn id="10" xr3:uid="{00000000-0010-0000-0000-00000A000000}" name="Minecraft Season Pass Price" dataDxfId="2" dataCellStyle="Moeda"/>
    <tableColumn id="11" xr3:uid="{00000000-0010-0000-0000-00000B000000}" name="Coupon Value" dataDxfId="1" dataCellStyle="Moeda"/>
    <tableColumn id="12" xr3:uid="{00000000-0010-0000-0000-00000C000000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M296"/>
  <sheetViews>
    <sheetView zoomScale="90" zoomScaleNormal="90" workbookViewId="0">
      <selection activeCell="O65" sqref="O6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6.5" customHeight="1" x14ac:dyDescent="0.25">
      <c r="A2" s="1">
        <v>3231</v>
      </c>
      <c r="B2" s="1" t="s">
        <v>13</v>
      </c>
      <c r="C2" s="1" t="s">
        <v>14</v>
      </c>
      <c r="D2" s="3">
        <v>45292</v>
      </c>
      <c r="E2" s="1" t="s">
        <v>15</v>
      </c>
      <c r="F2" s="4">
        <v>15</v>
      </c>
      <c r="G2" s="1" t="s">
        <v>16</v>
      </c>
      <c r="H2" s="1" t="s">
        <v>15</v>
      </c>
      <c r="I2" s="4">
        <v>30</v>
      </c>
      <c r="J2" s="1" t="s">
        <v>15</v>
      </c>
      <c r="K2" s="4">
        <v>20</v>
      </c>
      <c r="L2" s="4">
        <v>5</v>
      </c>
      <c r="M2" s="4">
        <v>60</v>
      </c>
    </row>
    <row r="3" spans="1:13" ht="16.5" hidden="1" customHeight="1" x14ac:dyDescent="0.25">
      <c r="A3" s="1">
        <v>3232</v>
      </c>
      <c r="B3" s="1" t="s">
        <v>17</v>
      </c>
      <c r="C3" s="1" t="s">
        <v>18</v>
      </c>
      <c r="D3" s="3">
        <v>45306</v>
      </c>
      <c r="E3" s="1" t="s">
        <v>19</v>
      </c>
      <c r="F3" s="4">
        <v>5</v>
      </c>
      <c r="G3" s="1" t="s">
        <v>20</v>
      </c>
      <c r="H3" s="1" t="s">
        <v>19</v>
      </c>
      <c r="I3" s="4" t="s">
        <v>21</v>
      </c>
      <c r="J3" s="1" t="s">
        <v>19</v>
      </c>
      <c r="K3" s="4">
        <v>0</v>
      </c>
      <c r="L3" s="4">
        <v>0</v>
      </c>
      <c r="M3" s="4">
        <v>5</v>
      </c>
    </row>
    <row r="4" spans="1:13" ht="16.5" hidden="1" customHeight="1" x14ac:dyDescent="0.25">
      <c r="A4" s="1">
        <v>3233</v>
      </c>
      <c r="B4" s="1" t="s">
        <v>22</v>
      </c>
      <c r="C4" s="1" t="s">
        <v>23</v>
      </c>
      <c r="D4" s="3">
        <v>45332</v>
      </c>
      <c r="E4" s="1" t="s">
        <v>15</v>
      </c>
      <c r="F4" s="4">
        <v>10</v>
      </c>
      <c r="G4" s="1" t="s">
        <v>24</v>
      </c>
      <c r="H4" s="1" t="s">
        <v>19</v>
      </c>
      <c r="I4" s="4" t="s">
        <v>21</v>
      </c>
      <c r="J4" s="1" t="s">
        <v>15</v>
      </c>
      <c r="K4" s="4">
        <v>20</v>
      </c>
      <c r="L4" s="4">
        <v>10</v>
      </c>
      <c r="M4" s="4">
        <v>20</v>
      </c>
    </row>
    <row r="5" spans="1:13" ht="16.5" customHeight="1" x14ac:dyDescent="0.25">
      <c r="A5" s="1">
        <v>3234</v>
      </c>
      <c r="B5" s="1" t="s">
        <v>25</v>
      </c>
      <c r="C5" s="1" t="s">
        <v>14</v>
      </c>
      <c r="D5" s="3">
        <v>45342</v>
      </c>
      <c r="E5" s="1" t="s">
        <v>19</v>
      </c>
      <c r="F5" s="4">
        <v>15</v>
      </c>
      <c r="G5" s="1" t="s">
        <v>16</v>
      </c>
      <c r="H5" s="1" t="s">
        <v>15</v>
      </c>
      <c r="I5" s="4">
        <v>30</v>
      </c>
      <c r="J5" s="1" t="s">
        <v>15</v>
      </c>
      <c r="K5" s="4">
        <v>20</v>
      </c>
      <c r="L5" s="4">
        <v>3</v>
      </c>
      <c r="M5" s="4">
        <v>62</v>
      </c>
    </row>
    <row r="6" spans="1:13" ht="16.5" hidden="1" customHeight="1" x14ac:dyDescent="0.25">
      <c r="A6" s="1">
        <v>3235</v>
      </c>
      <c r="B6" s="1" t="s">
        <v>26</v>
      </c>
      <c r="C6" s="1" t="s">
        <v>18</v>
      </c>
      <c r="D6" s="3">
        <v>45356</v>
      </c>
      <c r="E6" s="1" t="s">
        <v>15</v>
      </c>
      <c r="F6" s="4">
        <v>5</v>
      </c>
      <c r="G6" s="1" t="s">
        <v>16</v>
      </c>
      <c r="H6" s="1" t="s">
        <v>19</v>
      </c>
      <c r="I6" s="4" t="s">
        <v>21</v>
      </c>
      <c r="J6" s="1" t="s">
        <v>19</v>
      </c>
      <c r="K6" s="4">
        <v>0</v>
      </c>
      <c r="L6" s="4">
        <v>1</v>
      </c>
      <c r="M6" s="4">
        <v>4</v>
      </c>
    </row>
    <row r="7" spans="1:13" ht="16.5" hidden="1" customHeight="1" x14ac:dyDescent="0.25">
      <c r="A7" s="1">
        <v>3236</v>
      </c>
      <c r="B7" s="1" t="s">
        <v>27</v>
      </c>
      <c r="C7" s="1" t="s">
        <v>23</v>
      </c>
      <c r="D7" s="3">
        <v>45353</v>
      </c>
      <c r="E7" s="1" t="s">
        <v>19</v>
      </c>
      <c r="F7" s="4">
        <v>10</v>
      </c>
      <c r="G7" s="1" t="s">
        <v>16</v>
      </c>
      <c r="H7" s="1" t="s">
        <v>19</v>
      </c>
      <c r="I7" s="4" t="s">
        <v>21</v>
      </c>
      <c r="J7" s="1" t="s">
        <v>15</v>
      </c>
      <c r="K7" s="4">
        <v>20</v>
      </c>
      <c r="L7" s="4">
        <v>2</v>
      </c>
      <c r="M7" s="4">
        <v>28</v>
      </c>
    </row>
    <row r="8" spans="1:13" ht="16.5" customHeight="1" x14ac:dyDescent="0.25">
      <c r="A8" s="1">
        <v>3237</v>
      </c>
      <c r="B8" s="1" t="s">
        <v>28</v>
      </c>
      <c r="C8" s="1" t="s">
        <v>14</v>
      </c>
      <c r="D8" s="3">
        <v>45354</v>
      </c>
      <c r="E8" s="1" t="s">
        <v>15</v>
      </c>
      <c r="F8" s="4">
        <v>15</v>
      </c>
      <c r="G8" s="1" t="s">
        <v>24</v>
      </c>
      <c r="H8" s="1" t="s">
        <v>15</v>
      </c>
      <c r="I8" s="4">
        <v>30</v>
      </c>
      <c r="J8" s="1" t="s">
        <v>15</v>
      </c>
      <c r="K8" s="4">
        <v>20</v>
      </c>
      <c r="L8" s="4">
        <v>10</v>
      </c>
      <c r="M8" s="4">
        <v>55</v>
      </c>
    </row>
    <row r="9" spans="1:13" ht="16.5" hidden="1" customHeight="1" x14ac:dyDescent="0.25">
      <c r="A9" s="1">
        <v>3238</v>
      </c>
      <c r="B9" s="1" t="s">
        <v>29</v>
      </c>
      <c r="C9" s="1" t="s">
        <v>18</v>
      </c>
      <c r="D9" s="3">
        <v>45355</v>
      </c>
      <c r="E9" s="1" t="s">
        <v>15</v>
      </c>
      <c r="F9" s="4">
        <v>5</v>
      </c>
      <c r="G9" s="1" t="s">
        <v>20</v>
      </c>
      <c r="H9" s="1" t="s">
        <v>19</v>
      </c>
      <c r="I9" s="4" t="s">
        <v>21</v>
      </c>
      <c r="J9" s="1" t="s">
        <v>19</v>
      </c>
      <c r="K9" s="4">
        <v>0</v>
      </c>
      <c r="L9" s="4">
        <v>0</v>
      </c>
      <c r="M9" s="4">
        <v>5</v>
      </c>
    </row>
    <row r="10" spans="1:13" ht="16.5" customHeight="1" x14ac:dyDescent="0.25">
      <c r="A10" s="1">
        <v>3239</v>
      </c>
      <c r="B10" s="1" t="s">
        <v>30</v>
      </c>
      <c r="C10" s="1" t="s">
        <v>14</v>
      </c>
      <c r="D10" s="3">
        <v>45356</v>
      </c>
      <c r="E10" s="1" t="s">
        <v>19</v>
      </c>
      <c r="F10" s="4">
        <v>15</v>
      </c>
      <c r="G10" s="1" t="s">
        <v>16</v>
      </c>
      <c r="H10" s="1" t="s">
        <v>15</v>
      </c>
      <c r="I10" s="4">
        <v>30</v>
      </c>
      <c r="J10" s="1" t="s">
        <v>15</v>
      </c>
      <c r="K10" s="4">
        <v>20</v>
      </c>
      <c r="L10" s="4">
        <v>5</v>
      </c>
      <c r="M10" s="4">
        <v>60</v>
      </c>
    </row>
    <row r="11" spans="1:13" ht="16.5" hidden="1" customHeight="1" x14ac:dyDescent="0.25">
      <c r="A11" s="1">
        <v>3240</v>
      </c>
      <c r="B11" s="1" t="s">
        <v>31</v>
      </c>
      <c r="C11" s="1" t="s">
        <v>23</v>
      </c>
      <c r="D11" s="3">
        <v>45357</v>
      </c>
      <c r="E11" s="1" t="s">
        <v>15</v>
      </c>
      <c r="F11" s="4">
        <v>10</v>
      </c>
      <c r="G11" s="1" t="s">
        <v>24</v>
      </c>
      <c r="H11" s="1" t="s">
        <v>19</v>
      </c>
      <c r="I11" s="4" t="s">
        <v>21</v>
      </c>
      <c r="J11" s="1" t="s">
        <v>15</v>
      </c>
      <c r="K11" s="4">
        <v>20</v>
      </c>
      <c r="L11" s="4">
        <v>15</v>
      </c>
      <c r="M11" s="4">
        <v>15</v>
      </c>
    </row>
    <row r="12" spans="1:13" ht="16.5" hidden="1" customHeight="1" x14ac:dyDescent="0.25">
      <c r="A12" s="1">
        <v>3241</v>
      </c>
      <c r="B12" s="1" t="s">
        <v>32</v>
      </c>
      <c r="C12" s="1" t="s">
        <v>18</v>
      </c>
      <c r="D12" s="3">
        <v>45358</v>
      </c>
      <c r="E12" s="1" t="s">
        <v>19</v>
      </c>
      <c r="F12" s="4">
        <v>5</v>
      </c>
      <c r="G12" s="1" t="s">
        <v>16</v>
      </c>
      <c r="H12" s="1" t="s">
        <v>19</v>
      </c>
      <c r="I12" s="4" t="s">
        <v>21</v>
      </c>
      <c r="J12" s="1" t="s">
        <v>19</v>
      </c>
      <c r="K12" s="4">
        <v>0</v>
      </c>
      <c r="L12" s="4">
        <v>1</v>
      </c>
      <c r="M12" s="4">
        <v>4</v>
      </c>
    </row>
    <row r="13" spans="1:13" ht="16.5" customHeight="1" x14ac:dyDescent="0.25">
      <c r="A13" s="1">
        <v>3242</v>
      </c>
      <c r="B13" s="1" t="s">
        <v>33</v>
      </c>
      <c r="C13" s="1" t="s">
        <v>14</v>
      </c>
      <c r="D13" s="3">
        <v>45359</v>
      </c>
      <c r="E13" s="1" t="s">
        <v>15</v>
      </c>
      <c r="F13" s="4">
        <v>15</v>
      </c>
      <c r="G13" s="1" t="s">
        <v>20</v>
      </c>
      <c r="H13" s="1" t="s">
        <v>15</v>
      </c>
      <c r="I13" s="4">
        <v>30</v>
      </c>
      <c r="J13" s="1" t="s">
        <v>15</v>
      </c>
      <c r="K13" s="4">
        <v>20</v>
      </c>
      <c r="L13" s="4">
        <v>20</v>
      </c>
      <c r="M13" s="4">
        <v>45</v>
      </c>
    </row>
    <row r="14" spans="1:13" ht="16.5" hidden="1" customHeight="1" x14ac:dyDescent="0.25">
      <c r="A14" s="1">
        <v>3243</v>
      </c>
      <c r="B14" s="1" t="s">
        <v>34</v>
      </c>
      <c r="C14" s="1" t="s">
        <v>23</v>
      </c>
      <c r="D14" s="3">
        <v>45360</v>
      </c>
      <c r="E14" s="1" t="s">
        <v>19</v>
      </c>
      <c r="F14" s="4">
        <v>10</v>
      </c>
      <c r="G14" s="1" t="s">
        <v>16</v>
      </c>
      <c r="H14" s="1" t="s">
        <v>19</v>
      </c>
      <c r="I14" s="4" t="s">
        <v>21</v>
      </c>
      <c r="J14" s="1" t="s">
        <v>15</v>
      </c>
      <c r="K14" s="4">
        <v>20</v>
      </c>
      <c r="L14" s="4">
        <v>10</v>
      </c>
      <c r="M14" s="4">
        <v>20</v>
      </c>
    </row>
    <row r="15" spans="1:13" ht="16.5" hidden="1" customHeight="1" x14ac:dyDescent="0.25">
      <c r="A15" s="1">
        <v>3244</v>
      </c>
      <c r="B15" s="1" t="s">
        <v>35</v>
      </c>
      <c r="C15" s="1" t="s">
        <v>18</v>
      </c>
      <c r="D15" s="3">
        <v>45361</v>
      </c>
      <c r="E15" s="1" t="s">
        <v>15</v>
      </c>
      <c r="F15" s="4">
        <v>5</v>
      </c>
      <c r="G15" s="1" t="s">
        <v>24</v>
      </c>
      <c r="H15" s="1" t="s">
        <v>19</v>
      </c>
      <c r="I15" s="4" t="s">
        <v>21</v>
      </c>
      <c r="J15" s="1" t="s">
        <v>19</v>
      </c>
      <c r="K15" s="4">
        <v>0</v>
      </c>
      <c r="L15" s="4">
        <v>0</v>
      </c>
      <c r="M15" s="4">
        <v>5</v>
      </c>
    </row>
    <row r="16" spans="1:13" ht="16.5" customHeight="1" x14ac:dyDescent="0.25">
      <c r="A16" s="1">
        <v>3245</v>
      </c>
      <c r="B16" s="1" t="s">
        <v>36</v>
      </c>
      <c r="C16" s="1" t="s">
        <v>14</v>
      </c>
      <c r="D16" s="3">
        <v>45362</v>
      </c>
      <c r="E16" s="1" t="s">
        <v>19</v>
      </c>
      <c r="F16" s="4">
        <v>15</v>
      </c>
      <c r="G16" s="1" t="s">
        <v>16</v>
      </c>
      <c r="H16" s="1" t="s">
        <v>15</v>
      </c>
      <c r="I16" s="4">
        <v>30</v>
      </c>
      <c r="J16" s="1" t="s">
        <v>15</v>
      </c>
      <c r="K16" s="4">
        <v>20</v>
      </c>
      <c r="L16" s="4">
        <v>8</v>
      </c>
      <c r="M16" s="4">
        <v>57</v>
      </c>
    </row>
    <row r="17" spans="1:13" ht="16.5" hidden="1" customHeight="1" x14ac:dyDescent="0.25">
      <c r="A17" s="1">
        <v>3246</v>
      </c>
      <c r="B17" s="1" t="s">
        <v>37</v>
      </c>
      <c r="C17" s="1" t="s">
        <v>23</v>
      </c>
      <c r="D17" s="3">
        <v>45363</v>
      </c>
      <c r="E17" s="1" t="s">
        <v>15</v>
      </c>
      <c r="F17" s="4">
        <v>10</v>
      </c>
      <c r="G17" s="1" t="s">
        <v>20</v>
      </c>
      <c r="H17" s="1" t="s">
        <v>19</v>
      </c>
      <c r="I17" s="4" t="s">
        <v>21</v>
      </c>
      <c r="J17" s="1" t="s">
        <v>15</v>
      </c>
      <c r="K17" s="4">
        <v>20</v>
      </c>
      <c r="L17" s="4">
        <v>12</v>
      </c>
      <c r="M17" s="4">
        <v>18</v>
      </c>
    </row>
    <row r="18" spans="1:13" ht="16.5" hidden="1" customHeight="1" x14ac:dyDescent="0.25">
      <c r="A18" s="1">
        <v>3247</v>
      </c>
      <c r="B18" s="1" t="s">
        <v>38</v>
      </c>
      <c r="C18" s="1" t="s">
        <v>18</v>
      </c>
      <c r="D18" s="3">
        <v>45364</v>
      </c>
      <c r="E18" s="1" t="s">
        <v>19</v>
      </c>
      <c r="F18" s="4">
        <v>5</v>
      </c>
      <c r="G18" s="1" t="s">
        <v>16</v>
      </c>
      <c r="H18" s="1" t="s">
        <v>19</v>
      </c>
      <c r="I18" s="4" t="s">
        <v>21</v>
      </c>
      <c r="J18" s="1" t="s">
        <v>19</v>
      </c>
      <c r="K18" s="4">
        <v>0</v>
      </c>
      <c r="L18" s="4">
        <v>2</v>
      </c>
      <c r="M18" s="4">
        <v>3</v>
      </c>
    </row>
    <row r="19" spans="1:13" ht="16.5" customHeight="1" x14ac:dyDescent="0.25">
      <c r="A19" s="1">
        <v>3248</v>
      </c>
      <c r="B19" s="1" t="s">
        <v>39</v>
      </c>
      <c r="C19" s="1" t="s">
        <v>14</v>
      </c>
      <c r="D19" s="3">
        <v>45365</v>
      </c>
      <c r="E19" s="1" t="s">
        <v>15</v>
      </c>
      <c r="F19" s="4">
        <v>15</v>
      </c>
      <c r="G19" s="1" t="s">
        <v>24</v>
      </c>
      <c r="H19" s="1" t="s">
        <v>15</v>
      </c>
      <c r="I19" s="4">
        <v>30</v>
      </c>
      <c r="J19" s="1" t="s">
        <v>15</v>
      </c>
      <c r="K19" s="4">
        <v>20</v>
      </c>
      <c r="L19" s="4">
        <v>7</v>
      </c>
      <c r="M19" s="4">
        <v>58</v>
      </c>
    </row>
    <row r="20" spans="1:13" ht="16.5" hidden="1" customHeight="1" x14ac:dyDescent="0.25">
      <c r="A20" s="1">
        <v>3249</v>
      </c>
      <c r="B20" s="1" t="s">
        <v>40</v>
      </c>
      <c r="C20" s="1" t="s">
        <v>23</v>
      </c>
      <c r="D20" s="3">
        <v>45366</v>
      </c>
      <c r="E20" s="1" t="s">
        <v>19</v>
      </c>
      <c r="F20" s="4">
        <v>10</v>
      </c>
      <c r="G20" s="1" t="s">
        <v>16</v>
      </c>
      <c r="H20" s="1" t="s">
        <v>19</v>
      </c>
      <c r="I20" s="4" t="s">
        <v>21</v>
      </c>
      <c r="J20" s="1" t="s">
        <v>15</v>
      </c>
      <c r="K20" s="4">
        <v>20</v>
      </c>
      <c r="L20" s="4">
        <v>5</v>
      </c>
      <c r="M20" s="4">
        <v>25</v>
      </c>
    </row>
    <row r="21" spans="1:13" ht="16.5" hidden="1" customHeight="1" x14ac:dyDescent="0.25">
      <c r="A21" s="1">
        <v>3250</v>
      </c>
      <c r="B21" s="1" t="s">
        <v>41</v>
      </c>
      <c r="C21" s="1" t="s">
        <v>18</v>
      </c>
      <c r="D21" s="3">
        <v>45367</v>
      </c>
      <c r="E21" s="1" t="s">
        <v>15</v>
      </c>
      <c r="F21" s="4">
        <v>5</v>
      </c>
      <c r="G21" s="1" t="s">
        <v>20</v>
      </c>
      <c r="H21" s="1" t="s">
        <v>19</v>
      </c>
      <c r="I21" s="4" t="s">
        <v>21</v>
      </c>
      <c r="J21" s="1" t="s">
        <v>19</v>
      </c>
      <c r="K21" s="4">
        <v>0</v>
      </c>
      <c r="L21" s="4">
        <v>0</v>
      </c>
      <c r="M21" s="4">
        <v>5</v>
      </c>
    </row>
    <row r="22" spans="1:13" ht="16.5" customHeight="1" x14ac:dyDescent="0.25">
      <c r="A22" s="1">
        <v>3251</v>
      </c>
      <c r="B22" s="1" t="s">
        <v>42</v>
      </c>
      <c r="C22" s="1" t="s">
        <v>14</v>
      </c>
      <c r="D22" s="3">
        <v>45368</v>
      </c>
      <c r="E22" s="1" t="s">
        <v>19</v>
      </c>
      <c r="F22" s="4">
        <v>15</v>
      </c>
      <c r="G22" s="1" t="s">
        <v>16</v>
      </c>
      <c r="H22" s="1" t="s">
        <v>15</v>
      </c>
      <c r="I22" s="4">
        <v>30</v>
      </c>
      <c r="J22" s="1" t="s">
        <v>15</v>
      </c>
      <c r="K22" s="4">
        <v>20</v>
      </c>
      <c r="L22" s="4">
        <v>3</v>
      </c>
      <c r="M22" s="4">
        <v>62</v>
      </c>
    </row>
    <row r="23" spans="1:13" ht="16.5" hidden="1" customHeight="1" x14ac:dyDescent="0.25">
      <c r="A23" s="1">
        <v>3252</v>
      </c>
      <c r="B23" s="1" t="s">
        <v>43</v>
      </c>
      <c r="C23" s="1" t="s">
        <v>23</v>
      </c>
      <c r="D23" s="3">
        <v>45369</v>
      </c>
      <c r="E23" s="1" t="s">
        <v>15</v>
      </c>
      <c r="F23" s="4">
        <v>10</v>
      </c>
      <c r="G23" s="1" t="s">
        <v>24</v>
      </c>
      <c r="H23" s="1" t="s">
        <v>19</v>
      </c>
      <c r="I23" s="4" t="s">
        <v>21</v>
      </c>
      <c r="J23" s="1" t="s">
        <v>15</v>
      </c>
      <c r="K23" s="4">
        <v>20</v>
      </c>
      <c r="L23" s="4">
        <v>15</v>
      </c>
      <c r="M23" s="4">
        <v>15</v>
      </c>
    </row>
    <row r="24" spans="1:13" ht="16.5" hidden="1" customHeight="1" x14ac:dyDescent="0.25">
      <c r="A24" s="1">
        <v>3253</v>
      </c>
      <c r="B24" s="1" t="s">
        <v>44</v>
      </c>
      <c r="C24" s="1" t="s">
        <v>18</v>
      </c>
      <c r="D24" s="3">
        <v>45370</v>
      </c>
      <c r="E24" s="1" t="s">
        <v>19</v>
      </c>
      <c r="F24" s="4">
        <v>5</v>
      </c>
      <c r="G24" s="1" t="s">
        <v>16</v>
      </c>
      <c r="H24" s="1" t="s">
        <v>19</v>
      </c>
      <c r="I24" s="4" t="s">
        <v>21</v>
      </c>
      <c r="J24" s="1" t="s">
        <v>19</v>
      </c>
      <c r="K24" s="4">
        <v>0</v>
      </c>
      <c r="L24" s="4">
        <v>1</v>
      </c>
      <c r="M24" s="4">
        <v>4</v>
      </c>
    </row>
    <row r="25" spans="1:13" ht="16.5" customHeight="1" x14ac:dyDescent="0.25">
      <c r="A25" s="1">
        <v>3254</v>
      </c>
      <c r="B25" s="1" t="s">
        <v>45</v>
      </c>
      <c r="C25" s="1" t="s">
        <v>14</v>
      </c>
      <c r="D25" s="3">
        <v>45371</v>
      </c>
      <c r="E25" s="1" t="s">
        <v>15</v>
      </c>
      <c r="F25" s="4">
        <v>15</v>
      </c>
      <c r="G25" s="1" t="s">
        <v>20</v>
      </c>
      <c r="H25" s="1" t="s">
        <v>15</v>
      </c>
      <c r="I25" s="4">
        <v>30</v>
      </c>
      <c r="J25" s="1" t="s">
        <v>15</v>
      </c>
      <c r="K25" s="4">
        <v>20</v>
      </c>
      <c r="L25" s="4">
        <v>20</v>
      </c>
      <c r="M25" s="4">
        <v>45</v>
      </c>
    </row>
    <row r="26" spans="1:13" ht="16.5" hidden="1" customHeight="1" x14ac:dyDescent="0.25">
      <c r="A26" s="1">
        <v>3255</v>
      </c>
      <c r="B26" s="1" t="s">
        <v>46</v>
      </c>
      <c r="C26" s="1" t="s">
        <v>23</v>
      </c>
      <c r="D26" s="3">
        <v>45372</v>
      </c>
      <c r="E26" s="1" t="s">
        <v>19</v>
      </c>
      <c r="F26" s="4">
        <v>10</v>
      </c>
      <c r="G26" s="1" t="s">
        <v>16</v>
      </c>
      <c r="H26" s="1" t="s">
        <v>19</v>
      </c>
      <c r="I26" s="4" t="s">
        <v>21</v>
      </c>
      <c r="J26" s="1" t="s">
        <v>15</v>
      </c>
      <c r="K26" s="4">
        <v>20</v>
      </c>
      <c r="L26" s="4">
        <v>10</v>
      </c>
      <c r="M26" s="4">
        <v>20</v>
      </c>
    </row>
    <row r="27" spans="1:13" ht="16.5" hidden="1" customHeight="1" x14ac:dyDescent="0.25">
      <c r="A27" s="1">
        <v>3256</v>
      </c>
      <c r="B27" s="1" t="s">
        <v>47</v>
      </c>
      <c r="C27" s="1" t="s">
        <v>18</v>
      </c>
      <c r="D27" s="3">
        <v>45373</v>
      </c>
      <c r="E27" s="1" t="s">
        <v>15</v>
      </c>
      <c r="F27" s="4">
        <v>5</v>
      </c>
      <c r="G27" s="1" t="s">
        <v>24</v>
      </c>
      <c r="H27" s="1" t="s">
        <v>19</v>
      </c>
      <c r="I27" s="4" t="s">
        <v>21</v>
      </c>
      <c r="J27" s="1" t="s">
        <v>19</v>
      </c>
      <c r="K27" s="4">
        <v>0</v>
      </c>
      <c r="L27" s="4">
        <v>0</v>
      </c>
      <c r="M27" s="4">
        <v>5</v>
      </c>
    </row>
    <row r="28" spans="1:13" ht="16.5" customHeight="1" x14ac:dyDescent="0.25">
      <c r="A28" s="1">
        <v>3257</v>
      </c>
      <c r="B28" s="1" t="s">
        <v>48</v>
      </c>
      <c r="C28" s="1" t="s">
        <v>14</v>
      </c>
      <c r="D28" s="3">
        <v>45374</v>
      </c>
      <c r="E28" s="1" t="s">
        <v>19</v>
      </c>
      <c r="F28" s="4">
        <v>15</v>
      </c>
      <c r="G28" s="1" t="s">
        <v>16</v>
      </c>
      <c r="H28" s="1" t="s">
        <v>15</v>
      </c>
      <c r="I28" s="4">
        <v>30</v>
      </c>
      <c r="J28" s="1" t="s">
        <v>15</v>
      </c>
      <c r="K28" s="4">
        <v>20</v>
      </c>
      <c r="L28" s="4">
        <v>5</v>
      </c>
      <c r="M28" s="4">
        <v>60</v>
      </c>
    </row>
    <row r="29" spans="1:13" ht="16.5" hidden="1" customHeight="1" x14ac:dyDescent="0.25">
      <c r="A29" s="1">
        <v>3258</v>
      </c>
      <c r="B29" s="1" t="s">
        <v>49</v>
      </c>
      <c r="C29" s="1" t="s">
        <v>23</v>
      </c>
      <c r="D29" s="3">
        <v>45375</v>
      </c>
      <c r="E29" s="1" t="s">
        <v>15</v>
      </c>
      <c r="F29" s="4">
        <v>10</v>
      </c>
      <c r="G29" s="1" t="s">
        <v>20</v>
      </c>
      <c r="H29" s="1" t="s">
        <v>19</v>
      </c>
      <c r="I29" s="4" t="s">
        <v>21</v>
      </c>
      <c r="J29" s="1" t="s">
        <v>15</v>
      </c>
      <c r="K29" s="4">
        <v>20</v>
      </c>
      <c r="L29" s="4">
        <v>15</v>
      </c>
      <c r="M29" s="4">
        <v>15</v>
      </c>
    </row>
    <row r="30" spans="1:13" ht="16.5" hidden="1" customHeight="1" x14ac:dyDescent="0.25">
      <c r="A30" s="1">
        <v>3259</v>
      </c>
      <c r="B30" s="1" t="s">
        <v>50</v>
      </c>
      <c r="C30" s="1" t="s">
        <v>18</v>
      </c>
      <c r="D30" s="3">
        <v>45376</v>
      </c>
      <c r="E30" s="1" t="s">
        <v>19</v>
      </c>
      <c r="F30" s="4">
        <v>5</v>
      </c>
      <c r="G30" s="1" t="s">
        <v>16</v>
      </c>
      <c r="H30" s="1" t="s">
        <v>19</v>
      </c>
      <c r="I30" s="4" t="s">
        <v>21</v>
      </c>
      <c r="J30" s="1" t="s">
        <v>19</v>
      </c>
      <c r="K30" s="4">
        <v>0</v>
      </c>
      <c r="L30" s="4">
        <v>1</v>
      </c>
      <c r="M30" s="4">
        <v>4</v>
      </c>
    </row>
    <row r="31" spans="1:13" ht="16.5" customHeight="1" x14ac:dyDescent="0.25">
      <c r="A31" s="1">
        <v>3260</v>
      </c>
      <c r="B31" s="1" t="s">
        <v>51</v>
      </c>
      <c r="C31" s="1" t="s">
        <v>14</v>
      </c>
      <c r="D31" s="3">
        <v>45377</v>
      </c>
      <c r="E31" s="1" t="s">
        <v>15</v>
      </c>
      <c r="F31" s="4">
        <v>15</v>
      </c>
      <c r="G31" s="1" t="s">
        <v>24</v>
      </c>
      <c r="H31" s="1" t="s">
        <v>15</v>
      </c>
      <c r="I31" s="4">
        <v>30</v>
      </c>
      <c r="J31" s="1" t="s">
        <v>15</v>
      </c>
      <c r="K31" s="4">
        <v>20</v>
      </c>
      <c r="L31" s="4">
        <v>7</v>
      </c>
      <c r="M31" s="4">
        <v>58</v>
      </c>
    </row>
    <row r="32" spans="1:13" ht="16.5" hidden="1" customHeight="1" x14ac:dyDescent="0.25">
      <c r="A32" s="1">
        <v>3261</v>
      </c>
      <c r="B32" s="1" t="s">
        <v>52</v>
      </c>
      <c r="C32" s="1" t="s">
        <v>23</v>
      </c>
      <c r="D32" s="3">
        <v>45378</v>
      </c>
      <c r="E32" s="1" t="s">
        <v>19</v>
      </c>
      <c r="F32" s="4">
        <v>10</v>
      </c>
      <c r="G32" s="1" t="s">
        <v>16</v>
      </c>
      <c r="H32" s="1" t="s">
        <v>19</v>
      </c>
      <c r="I32" s="4" t="s">
        <v>21</v>
      </c>
      <c r="J32" s="1" t="s">
        <v>15</v>
      </c>
      <c r="K32" s="4">
        <v>20</v>
      </c>
      <c r="L32" s="4">
        <v>10</v>
      </c>
      <c r="M32" s="4">
        <v>20</v>
      </c>
    </row>
    <row r="33" spans="1:13" ht="16.5" hidden="1" customHeight="1" x14ac:dyDescent="0.25">
      <c r="A33" s="1">
        <v>3262</v>
      </c>
      <c r="B33" s="1" t="s">
        <v>53</v>
      </c>
      <c r="C33" s="1" t="s">
        <v>18</v>
      </c>
      <c r="D33" s="3">
        <v>45379</v>
      </c>
      <c r="E33" s="1" t="s">
        <v>15</v>
      </c>
      <c r="F33" s="4">
        <v>5</v>
      </c>
      <c r="G33" s="1" t="s">
        <v>20</v>
      </c>
      <c r="H33" s="1" t="s">
        <v>19</v>
      </c>
      <c r="I33" s="4" t="s">
        <v>21</v>
      </c>
      <c r="J33" s="1" t="s">
        <v>19</v>
      </c>
      <c r="K33" s="4">
        <v>0</v>
      </c>
      <c r="L33" s="4">
        <v>0</v>
      </c>
      <c r="M33" s="4">
        <v>5</v>
      </c>
    </row>
    <row r="34" spans="1:13" ht="16.5" customHeight="1" x14ac:dyDescent="0.25">
      <c r="A34" s="1">
        <v>3263</v>
      </c>
      <c r="B34" s="1" t="s">
        <v>54</v>
      </c>
      <c r="C34" s="1" t="s">
        <v>14</v>
      </c>
      <c r="D34" s="3">
        <v>45380</v>
      </c>
      <c r="E34" s="1" t="s">
        <v>19</v>
      </c>
      <c r="F34" s="4">
        <v>15</v>
      </c>
      <c r="G34" s="1" t="s">
        <v>16</v>
      </c>
      <c r="H34" s="1" t="s">
        <v>15</v>
      </c>
      <c r="I34" s="4">
        <v>30</v>
      </c>
      <c r="J34" s="1" t="s">
        <v>15</v>
      </c>
      <c r="K34" s="4">
        <v>20</v>
      </c>
      <c r="L34" s="4">
        <v>3</v>
      </c>
      <c r="M34" s="4">
        <v>62</v>
      </c>
    </row>
    <row r="35" spans="1:13" ht="16.5" hidden="1" customHeight="1" x14ac:dyDescent="0.25">
      <c r="A35" s="1">
        <v>3264</v>
      </c>
      <c r="B35" s="1" t="s">
        <v>55</v>
      </c>
      <c r="C35" s="1" t="s">
        <v>23</v>
      </c>
      <c r="D35" s="3">
        <v>45381</v>
      </c>
      <c r="E35" s="1" t="s">
        <v>15</v>
      </c>
      <c r="F35" s="4">
        <v>10</v>
      </c>
      <c r="G35" s="1" t="s">
        <v>24</v>
      </c>
      <c r="H35" s="1" t="s">
        <v>19</v>
      </c>
      <c r="I35" s="4" t="s">
        <v>21</v>
      </c>
      <c r="J35" s="1" t="s">
        <v>15</v>
      </c>
      <c r="K35" s="4">
        <v>20</v>
      </c>
      <c r="L35" s="4">
        <v>15</v>
      </c>
      <c r="M35" s="4">
        <v>15</v>
      </c>
    </row>
    <row r="36" spans="1:13" ht="16.5" hidden="1" customHeight="1" x14ac:dyDescent="0.25">
      <c r="A36" s="1">
        <v>3265</v>
      </c>
      <c r="B36" s="1" t="s">
        <v>56</v>
      </c>
      <c r="C36" s="1" t="s">
        <v>18</v>
      </c>
      <c r="D36" s="3">
        <v>45382</v>
      </c>
      <c r="E36" s="1" t="s">
        <v>19</v>
      </c>
      <c r="F36" s="4">
        <v>5</v>
      </c>
      <c r="G36" s="1" t="s">
        <v>16</v>
      </c>
      <c r="H36" s="1" t="s">
        <v>19</v>
      </c>
      <c r="I36" s="4" t="s">
        <v>21</v>
      </c>
      <c r="J36" s="1" t="s">
        <v>19</v>
      </c>
      <c r="K36" s="4">
        <v>0</v>
      </c>
      <c r="L36" s="4">
        <v>1</v>
      </c>
      <c r="M36" s="4">
        <v>4</v>
      </c>
    </row>
    <row r="37" spans="1:13" ht="16.5" hidden="1" customHeight="1" x14ac:dyDescent="0.25">
      <c r="A37" s="1">
        <v>3266</v>
      </c>
      <c r="B37" s="1" t="s">
        <v>57</v>
      </c>
      <c r="C37" s="1" t="s">
        <v>18</v>
      </c>
      <c r="D37" s="3">
        <v>45383</v>
      </c>
      <c r="E37" s="1" t="s">
        <v>15</v>
      </c>
      <c r="F37" s="4">
        <v>5</v>
      </c>
      <c r="G37" s="1" t="s">
        <v>16</v>
      </c>
      <c r="H37" s="1" t="s">
        <v>19</v>
      </c>
      <c r="I37" s="4" t="s">
        <v>21</v>
      </c>
      <c r="J37" s="1" t="s">
        <v>19</v>
      </c>
      <c r="K37" s="4">
        <v>0</v>
      </c>
      <c r="L37" s="4">
        <v>0</v>
      </c>
      <c r="M37" s="4">
        <v>5</v>
      </c>
    </row>
    <row r="38" spans="1:13" ht="16.5" customHeight="1" x14ac:dyDescent="0.25">
      <c r="A38" s="1">
        <v>3267</v>
      </c>
      <c r="B38" s="1" t="s">
        <v>58</v>
      </c>
      <c r="C38" s="1" t="s">
        <v>14</v>
      </c>
      <c r="D38" s="3">
        <v>45384</v>
      </c>
      <c r="E38" s="1" t="s">
        <v>19</v>
      </c>
      <c r="F38" s="4">
        <v>15</v>
      </c>
      <c r="G38" s="1" t="s">
        <v>24</v>
      </c>
      <c r="H38" s="1" t="s">
        <v>15</v>
      </c>
      <c r="I38" s="4">
        <v>30</v>
      </c>
      <c r="J38" s="1" t="s">
        <v>15</v>
      </c>
      <c r="K38" s="4">
        <v>20</v>
      </c>
      <c r="L38" s="4">
        <v>7</v>
      </c>
      <c r="M38" s="4">
        <v>58</v>
      </c>
    </row>
    <row r="39" spans="1:13" ht="16.5" hidden="1" customHeight="1" x14ac:dyDescent="0.25">
      <c r="A39" s="1">
        <v>3268</v>
      </c>
      <c r="B39" s="1" t="s">
        <v>59</v>
      </c>
      <c r="C39" s="1" t="s">
        <v>23</v>
      </c>
      <c r="D39" s="3">
        <v>45385</v>
      </c>
      <c r="E39" s="1" t="s">
        <v>15</v>
      </c>
      <c r="F39" s="4">
        <v>10</v>
      </c>
      <c r="G39" s="1" t="s">
        <v>20</v>
      </c>
      <c r="H39" s="1" t="s">
        <v>19</v>
      </c>
      <c r="I39" s="4" t="s">
        <v>21</v>
      </c>
      <c r="J39" s="1" t="s">
        <v>15</v>
      </c>
      <c r="K39" s="4">
        <v>20</v>
      </c>
      <c r="L39" s="4">
        <v>10</v>
      </c>
      <c r="M39" s="4">
        <v>20</v>
      </c>
    </row>
    <row r="40" spans="1:13" ht="16.5" hidden="1" customHeight="1" x14ac:dyDescent="0.25">
      <c r="A40" s="1">
        <v>3269</v>
      </c>
      <c r="B40" s="1" t="s">
        <v>60</v>
      </c>
      <c r="C40" s="1" t="s">
        <v>18</v>
      </c>
      <c r="D40" s="3">
        <v>45386</v>
      </c>
      <c r="E40" s="1" t="s">
        <v>19</v>
      </c>
      <c r="F40" s="4">
        <v>5</v>
      </c>
      <c r="G40" s="1" t="s">
        <v>24</v>
      </c>
      <c r="H40" s="1" t="s">
        <v>19</v>
      </c>
      <c r="I40" s="4" t="s">
        <v>21</v>
      </c>
      <c r="J40" s="1" t="s">
        <v>19</v>
      </c>
      <c r="K40" s="4">
        <v>0</v>
      </c>
      <c r="L40" s="4">
        <v>1</v>
      </c>
      <c r="M40" s="4">
        <v>4</v>
      </c>
    </row>
    <row r="41" spans="1:13" ht="16.5" customHeight="1" x14ac:dyDescent="0.25">
      <c r="A41" s="1">
        <v>3270</v>
      </c>
      <c r="B41" s="1" t="s">
        <v>61</v>
      </c>
      <c r="C41" s="1" t="s">
        <v>14</v>
      </c>
      <c r="D41" s="3">
        <v>45387</v>
      </c>
      <c r="E41" s="1" t="s">
        <v>15</v>
      </c>
      <c r="F41" s="4">
        <v>15</v>
      </c>
      <c r="G41" s="1" t="s">
        <v>16</v>
      </c>
      <c r="H41" s="1" t="s">
        <v>15</v>
      </c>
      <c r="I41" s="4">
        <v>30</v>
      </c>
      <c r="J41" s="1" t="s">
        <v>15</v>
      </c>
      <c r="K41" s="4">
        <v>20</v>
      </c>
      <c r="L41" s="4">
        <v>15</v>
      </c>
      <c r="M41" s="4">
        <v>50</v>
      </c>
    </row>
    <row r="42" spans="1:13" ht="16.5" hidden="1" customHeight="1" x14ac:dyDescent="0.25">
      <c r="A42" s="1">
        <v>3271</v>
      </c>
      <c r="B42" s="1" t="s">
        <v>62</v>
      </c>
      <c r="C42" s="1" t="s">
        <v>23</v>
      </c>
      <c r="D42" s="3">
        <v>45388</v>
      </c>
      <c r="E42" s="1" t="s">
        <v>19</v>
      </c>
      <c r="F42" s="4">
        <v>10</v>
      </c>
      <c r="G42" s="1" t="s">
        <v>16</v>
      </c>
      <c r="H42" s="1" t="s">
        <v>19</v>
      </c>
      <c r="I42" s="4" t="s">
        <v>21</v>
      </c>
      <c r="J42" s="1" t="s">
        <v>15</v>
      </c>
      <c r="K42" s="4">
        <v>20</v>
      </c>
      <c r="L42" s="4">
        <v>5</v>
      </c>
      <c r="M42" s="4">
        <v>25</v>
      </c>
    </row>
    <row r="43" spans="1:13" ht="16.5" hidden="1" customHeight="1" x14ac:dyDescent="0.25">
      <c r="A43" s="1">
        <v>3272</v>
      </c>
      <c r="B43" s="1" t="s">
        <v>63</v>
      </c>
      <c r="C43" s="1" t="s">
        <v>18</v>
      </c>
      <c r="D43" s="3">
        <v>45389</v>
      </c>
      <c r="E43" s="1" t="s">
        <v>15</v>
      </c>
      <c r="F43" s="4">
        <v>5</v>
      </c>
      <c r="G43" s="1" t="s">
        <v>20</v>
      </c>
      <c r="H43" s="1" t="s">
        <v>19</v>
      </c>
      <c r="I43" s="4" t="s">
        <v>21</v>
      </c>
      <c r="J43" s="1" t="s">
        <v>19</v>
      </c>
      <c r="K43" s="4">
        <v>0</v>
      </c>
      <c r="L43" s="4">
        <v>0</v>
      </c>
      <c r="M43" s="4">
        <v>5</v>
      </c>
    </row>
    <row r="44" spans="1:13" ht="16.5" customHeight="1" x14ac:dyDescent="0.25">
      <c r="A44" s="1">
        <v>3273</v>
      </c>
      <c r="B44" s="1" t="s">
        <v>64</v>
      </c>
      <c r="C44" s="1" t="s">
        <v>14</v>
      </c>
      <c r="D44" s="3">
        <v>45390</v>
      </c>
      <c r="E44" s="1" t="s">
        <v>19</v>
      </c>
      <c r="F44" s="4">
        <v>15</v>
      </c>
      <c r="G44" s="1" t="s">
        <v>24</v>
      </c>
      <c r="H44" s="1" t="s">
        <v>15</v>
      </c>
      <c r="I44" s="4">
        <v>30</v>
      </c>
      <c r="J44" s="1" t="s">
        <v>15</v>
      </c>
      <c r="K44" s="4">
        <v>20</v>
      </c>
      <c r="L44" s="4">
        <v>20</v>
      </c>
      <c r="M44" s="4">
        <v>45</v>
      </c>
    </row>
    <row r="45" spans="1:13" ht="16.5" hidden="1" customHeight="1" x14ac:dyDescent="0.25">
      <c r="A45" s="1">
        <v>3274</v>
      </c>
      <c r="B45" s="1" t="s">
        <v>65</v>
      </c>
      <c r="C45" s="1" t="s">
        <v>23</v>
      </c>
      <c r="D45" s="3">
        <v>45391</v>
      </c>
      <c r="E45" s="1" t="s">
        <v>15</v>
      </c>
      <c r="F45" s="4">
        <v>10</v>
      </c>
      <c r="G45" s="1" t="s">
        <v>24</v>
      </c>
      <c r="H45" s="1" t="s">
        <v>19</v>
      </c>
      <c r="I45" s="4" t="s">
        <v>21</v>
      </c>
      <c r="J45" s="1" t="s">
        <v>15</v>
      </c>
      <c r="K45" s="4">
        <v>20</v>
      </c>
      <c r="L45" s="4">
        <v>12</v>
      </c>
      <c r="M45" s="4">
        <v>18</v>
      </c>
    </row>
    <row r="46" spans="1:13" ht="16.5" hidden="1" customHeight="1" x14ac:dyDescent="0.25">
      <c r="A46" s="1">
        <v>3275</v>
      </c>
      <c r="B46" s="1" t="s">
        <v>66</v>
      </c>
      <c r="C46" s="1" t="s">
        <v>18</v>
      </c>
      <c r="D46" s="3">
        <v>45392</v>
      </c>
      <c r="E46" s="1" t="s">
        <v>19</v>
      </c>
      <c r="F46" s="4">
        <v>5</v>
      </c>
      <c r="G46" s="1" t="s">
        <v>16</v>
      </c>
      <c r="H46" s="1" t="s">
        <v>19</v>
      </c>
      <c r="I46" s="4" t="s">
        <v>21</v>
      </c>
      <c r="J46" s="1" t="s">
        <v>19</v>
      </c>
      <c r="K46" s="4">
        <v>0</v>
      </c>
      <c r="L46" s="4">
        <v>2</v>
      </c>
      <c r="M46" s="4">
        <v>3</v>
      </c>
    </row>
    <row r="47" spans="1:13" ht="16.5" customHeight="1" x14ac:dyDescent="0.25">
      <c r="A47" s="1">
        <v>3276</v>
      </c>
      <c r="B47" s="1" t="s">
        <v>67</v>
      </c>
      <c r="C47" s="1" t="s">
        <v>14</v>
      </c>
      <c r="D47" s="3">
        <v>45393</v>
      </c>
      <c r="E47" s="1" t="s">
        <v>15</v>
      </c>
      <c r="F47" s="4">
        <v>15</v>
      </c>
      <c r="G47" s="1" t="s">
        <v>20</v>
      </c>
      <c r="H47" s="1" t="s">
        <v>15</v>
      </c>
      <c r="I47" s="4">
        <v>30</v>
      </c>
      <c r="J47" s="1" t="s">
        <v>15</v>
      </c>
      <c r="K47" s="4">
        <v>20</v>
      </c>
      <c r="L47" s="4">
        <v>5</v>
      </c>
      <c r="M47" s="4">
        <v>60</v>
      </c>
    </row>
    <row r="48" spans="1:13" ht="16.5" hidden="1" customHeight="1" x14ac:dyDescent="0.25">
      <c r="A48" s="1">
        <v>3277</v>
      </c>
      <c r="B48" s="1" t="s">
        <v>68</v>
      </c>
      <c r="C48" s="1" t="s">
        <v>23</v>
      </c>
      <c r="D48" s="3">
        <v>45394</v>
      </c>
      <c r="E48" s="1" t="s">
        <v>19</v>
      </c>
      <c r="F48" s="4">
        <v>10</v>
      </c>
      <c r="G48" s="1" t="s">
        <v>16</v>
      </c>
      <c r="H48" s="1" t="s">
        <v>19</v>
      </c>
      <c r="I48" s="4" t="s">
        <v>21</v>
      </c>
      <c r="J48" s="1" t="s">
        <v>15</v>
      </c>
      <c r="K48" s="4">
        <v>20</v>
      </c>
      <c r="L48" s="4">
        <v>10</v>
      </c>
      <c r="M48" s="4">
        <v>20</v>
      </c>
    </row>
    <row r="49" spans="1:13" ht="16.5" hidden="1" customHeight="1" x14ac:dyDescent="0.25">
      <c r="A49" s="1">
        <v>3278</v>
      </c>
      <c r="B49" s="1" t="s">
        <v>69</v>
      </c>
      <c r="C49" s="1" t="s">
        <v>18</v>
      </c>
      <c r="D49" s="3">
        <v>45395</v>
      </c>
      <c r="E49" s="1" t="s">
        <v>15</v>
      </c>
      <c r="F49" s="4">
        <v>5</v>
      </c>
      <c r="G49" s="1" t="s">
        <v>24</v>
      </c>
      <c r="H49" s="1" t="s">
        <v>19</v>
      </c>
      <c r="I49" s="4" t="s">
        <v>21</v>
      </c>
      <c r="J49" s="1" t="s">
        <v>19</v>
      </c>
      <c r="K49" s="4">
        <v>0</v>
      </c>
      <c r="L49" s="4">
        <v>0</v>
      </c>
      <c r="M49" s="4">
        <v>5</v>
      </c>
    </row>
    <row r="50" spans="1:13" ht="16.5" customHeight="1" x14ac:dyDescent="0.25">
      <c r="A50" s="1">
        <v>3279</v>
      </c>
      <c r="B50" s="1" t="s">
        <v>70</v>
      </c>
      <c r="C50" s="1" t="s">
        <v>14</v>
      </c>
      <c r="D50" s="3">
        <v>45396</v>
      </c>
      <c r="E50" s="1" t="s">
        <v>19</v>
      </c>
      <c r="F50" s="4">
        <v>15</v>
      </c>
      <c r="G50" s="1" t="s">
        <v>16</v>
      </c>
      <c r="H50" s="1" t="s">
        <v>15</v>
      </c>
      <c r="I50" s="4">
        <v>30</v>
      </c>
      <c r="J50" s="1" t="s">
        <v>15</v>
      </c>
      <c r="K50" s="4">
        <v>20</v>
      </c>
      <c r="L50" s="4">
        <v>3</v>
      </c>
      <c r="M50" s="4">
        <v>62</v>
      </c>
    </row>
    <row r="51" spans="1:13" ht="16.5" hidden="1" customHeight="1" x14ac:dyDescent="0.25">
      <c r="A51" s="1">
        <v>3280</v>
      </c>
      <c r="B51" s="1" t="s">
        <v>71</v>
      </c>
      <c r="C51" s="1" t="s">
        <v>23</v>
      </c>
      <c r="D51" s="3">
        <v>45397</v>
      </c>
      <c r="E51" s="1" t="s">
        <v>15</v>
      </c>
      <c r="F51" s="4">
        <v>10</v>
      </c>
      <c r="G51" s="1" t="s">
        <v>20</v>
      </c>
      <c r="H51" s="1" t="s">
        <v>19</v>
      </c>
      <c r="I51" s="4" t="s">
        <v>21</v>
      </c>
      <c r="J51" s="1" t="s">
        <v>15</v>
      </c>
      <c r="K51" s="4">
        <v>20</v>
      </c>
      <c r="L51" s="4">
        <v>15</v>
      </c>
      <c r="M51" s="4">
        <v>15</v>
      </c>
    </row>
    <row r="52" spans="1:13" ht="16.5" hidden="1" customHeight="1" x14ac:dyDescent="0.25">
      <c r="A52" s="1">
        <v>3281</v>
      </c>
      <c r="B52" s="1" t="s">
        <v>72</v>
      </c>
      <c r="C52" s="1" t="s">
        <v>18</v>
      </c>
      <c r="D52" s="3">
        <v>45398</v>
      </c>
      <c r="E52" s="1" t="s">
        <v>19</v>
      </c>
      <c r="F52" s="4">
        <v>5</v>
      </c>
      <c r="G52" s="1" t="s">
        <v>16</v>
      </c>
      <c r="H52" s="1" t="s">
        <v>19</v>
      </c>
      <c r="I52" s="4" t="s">
        <v>21</v>
      </c>
      <c r="J52" s="1" t="s">
        <v>19</v>
      </c>
      <c r="K52" s="4">
        <v>0</v>
      </c>
      <c r="L52" s="4">
        <v>1</v>
      </c>
      <c r="M52" s="4">
        <v>4</v>
      </c>
    </row>
    <row r="53" spans="1:13" ht="16.5" customHeight="1" x14ac:dyDescent="0.25">
      <c r="A53" s="1">
        <v>3282</v>
      </c>
      <c r="B53" s="1" t="s">
        <v>73</v>
      </c>
      <c r="C53" s="1" t="s">
        <v>14</v>
      </c>
      <c r="D53" s="3">
        <v>45399</v>
      </c>
      <c r="E53" s="1" t="s">
        <v>15</v>
      </c>
      <c r="F53" s="4">
        <v>15</v>
      </c>
      <c r="G53" s="1" t="s">
        <v>24</v>
      </c>
      <c r="H53" s="1" t="s">
        <v>15</v>
      </c>
      <c r="I53" s="4">
        <v>30</v>
      </c>
      <c r="J53" s="1" t="s">
        <v>15</v>
      </c>
      <c r="K53" s="4">
        <v>20</v>
      </c>
      <c r="L53" s="4">
        <v>7</v>
      </c>
      <c r="M53" s="4">
        <v>58</v>
      </c>
    </row>
    <row r="54" spans="1:13" ht="16.5" hidden="1" customHeight="1" x14ac:dyDescent="0.25">
      <c r="A54" s="1">
        <v>3283</v>
      </c>
      <c r="B54" s="1" t="s">
        <v>74</v>
      </c>
      <c r="C54" s="1" t="s">
        <v>23</v>
      </c>
      <c r="D54" s="3">
        <v>45400</v>
      </c>
      <c r="E54" s="1" t="s">
        <v>19</v>
      </c>
      <c r="F54" s="4">
        <v>10</v>
      </c>
      <c r="G54" s="1" t="s">
        <v>16</v>
      </c>
      <c r="H54" s="1" t="s">
        <v>19</v>
      </c>
      <c r="I54" s="4" t="s">
        <v>21</v>
      </c>
      <c r="J54" s="1" t="s">
        <v>15</v>
      </c>
      <c r="K54" s="4">
        <v>20</v>
      </c>
      <c r="L54" s="4">
        <v>10</v>
      </c>
      <c r="M54" s="4">
        <v>20</v>
      </c>
    </row>
    <row r="55" spans="1:13" ht="16.5" hidden="1" customHeight="1" x14ac:dyDescent="0.25">
      <c r="A55" s="1">
        <v>3284</v>
      </c>
      <c r="B55" s="1" t="s">
        <v>75</v>
      </c>
      <c r="C55" s="1" t="s">
        <v>18</v>
      </c>
      <c r="D55" s="3">
        <v>45401</v>
      </c>
      <c r="E55" s="1" t="s">
        <v>15</v>
      </c>
      <c r="F55" s="4">
        <v>5</v>
      </c>
      <c r="G55" s="1" t="s">
        <v>20</v>
      </c>
      <c r="H55" s="1" t="s">
        <v>19</v>
      </c>
      <c r="I55" s="4" t="s">
        <v>21</v>
      </c>
      <c r="J55" s="1" t="s">
        <v>19</v>
      </c>
      <c r="K55" s="4">
        <v>0</v>
      </c>
      <c r="L55" s="4">
        <v>0</v>
      </c>
      <c r="M55" s="4">
        <v>5</v>
      </c>
    </row>
    <row r="56" spans="1:13" ht="16.5" customHeight="1" x14ac:dyDescent="0.25">
      <c r="A56" s="1">
        <v>3285</v>
      </c>
      <c r="B56" s="1" t="s">
        <v>76</v>
      </c>
      <c r="C56" s="1" t="s">
        <v>14</v>
      </c>
      <c r="D56" s="3">
        <v>45402</v>
      </c>
      <c r="E56" s="1" t="s">
        <v>19</v>
      </c>
      <c r="F56" s="4">
        <v>15</v>
      </c>
      <c r="G56" s="1" t="s">
        <v>16</v>
      </c>
      <c r="H56" s="1" t="s">
        <v>15</v>
      </c>
      <c r="I56" s="4">
        <v>30</v>
      </c>
      <c r="J56" s="1" t="s">
        <v>15</v>
      </c>
      <c r="K56" s="4">
        <v>20</v>
      </c>
      <c r="L56" s="4">
        <v>20</v>
      </c>
      <c r="M56" s="4">
        <v>45</v>
      </c>
    </row>
    <row r="57" spans="1:13" ht="16.5" hidden="1" customHeight="1" x14ac:dyDescent="0.25">
      <c r="A57" s="1">
        <v>3286</v>
      </c>
      <c r="B57" s="1" t="s">
        <v>77</v>
      </c>
      <c r="C57" s="1" t="s">
        <v>23</v>
      </c>
      <c r="D57" s="3">
        <v>45403</v>
      </c>
      <c r="E57" s="1" t="s">
        <v>15</v>
      </c>
      <c r="F57" s="4">
        <v>10</v>
      </c>
      <c r="G57" s="1" t="s">
        <v>24</v>
      </c>
      <c r="H57" s="1" t="s">
        <v>19</v>
      </c>
      <c r="I57" s="4" t="s">
        <v>21</v>
      </c>
      <c r="J57" s="1" t="s">
        <v>15</v>
      </c>
      <c r="K57" s="4">
        <v>20</v>
      </c>
      <c r="L57" s="4">
        <v>15</v>
      </c>
      <c r="M57" s="4">
        <v>15</v>
      </c>
    </row>
    <row r="58" spans="1:13" ht="16.5" hidden="1" customHeight="1" x14ac:dyDescent="0.25">
      <c r="A58" s="1">
        <v>3287</v>
      </c>
      <c r="B58" s="1" t="s">
        <v>78</v>
      </c>
      <c r="C58" s="1" t="s">
        <v>18</v>
      </c>
      <c r="D58" s="3">
        <v>45404</v>
      </c>
      <c r="E58" s="1" t="s">
        <v>19</v>
      </c>
      <c r="F58" s="4">
        <v>5</v>
      </c>
      <c r="G58" s="1" t="s">
        <v>16</v>
      </c>
      <c r="H58" s="1" t="s">
        <v>19</v>
      </c>
      <c r="I58" s="4" t="s">
        <v>21</v>
      </c>
      <c r="J58" s="1" t="s">
        <v>19</v>
      </c>
      <c r="K58" s="4">
        <v>0</v>
      </c>
      <c r="L58" s="4">
        <v>1</v>
      </c>
      <c r="M58" s="4">
        <v>4</v>
      </c>
    </row>
    <row r="59" spans="1:13" ht="16.5" customHeight="1" x14ac:dyDescent="0.25">
      <c r="A59" s="1">
        <v>3288</v>
      </c>
      <c r="B59" s="1" t="s">
        <v>79</v>
      </c>
      <c r="C59" s="1" t="s">
        <v>14</v>
      </c>
      <c r="D59" s="3">
        <v>45405</v>
      </c>
      <c r="E59" s="1" t="s">
        <v>15</v>
      </c>
      <c r="F59" s="4">
        <v>15</v>
      </c>
      <c r="G59" s="1" t="s">
        <v>20</v>
      </c>
      <c r="H59" s="1" t="s">
        <v>15</v>
      </c>
      <c r="I59" s="4">
        <v>30</v>
      </c>
      <c r="J59" s="1" t="s">
        <v>15</v>
      </c>
      <c r="K59" s="4">
        <v>20</v>
      </c>
      <c r="L59" s="4">
        <v>3</v>
      </c>
      <c r="M59" s="4">
        <v>62</v>
      </c>
    </row>
    <row r="60" spans="1:13" ht="16.5" hidden="1" customHeight="1" x14ac:dyDescent="0.25">
      <c r="A60" s="1">
        <v>3289</v>
      </c>
      <c r="B60" s="1" t="s">
        <v>80</v>
      </c>
      <c r="C60" s="1" t="s">
        <v>23</v>
      </c>
      <c r="D60" s="3">
        <v>45406</v>
      </c>
      <c r="E60" s="1" t="s">
        <v>19</v>
      </c>
      <c r="F60" s="4">
        <v>10</v>
      </c>
      <c r="G60" s="1" t="s">
        <v>16</v>
      </c>
      <c r="H60" s="1" t="s">
        <v>19</v>
      </c>
      <c r="I60" s="4" t="s">
        <v>21</v>
      </c>
      <c r="J60" s="1" t="s">
        <v>15</v>
      </c>
      <c r="K60" s="4">
        <v>20</v>
      </c>
      <c r="L60" s="4">
        <v>10</v>
      </c>
      <c r="M60" s="4">
        <v>20</v>
      </c>
    </row>
    <row r="61" spans="1:13" ht="16.5" hidden="1" customHeight="1" x14ac:dyDescent="0.25">
      <c r="A61" s="1">
        <v>3290</v>
      </c>
      <c r="B61" s="1" t="s">
        <v>81</v>
      </c>
      <c r="C61" s="1" t="s">
        <v>18</v>
      </c>
      <c r="D61" s="3">
        <v>45407</v>
      </c>
      <c r="E61" s="1" t="s">
        <v>15</v>
      </c>
      <c r="F61" s="4">
        <v>5</v>
      </c>
      <c r="G61" s="1" t="s">
        <v>24</v>
      </c>
      <c r="H61" s="1" t="s">
        <v>19</v>
      </c>
      <c r="I61" s="4" t="s">
        <v>21</v>
      </c>
      <c r="J61" s="1" t="s">
        <v>19</v>
      </c>
      <c r="K61" s="4">
        <v>0</v>
      </c>
      <c r="L61" s="4">
        <v>0</v>
      </c>
      <c r="M61" s="4">
        <v>5</v>
      </c>
    </row>
    <row r="62" spans="1:13" ht="16.5" customHeight="1" x14ac:dyDescent="0.25">
      <c r="A62" s="1">
        <v>3291</v>
      </c>
      <c r="B62" s="1" t="s">
        <v>82</v>
      </c>
      <c r="C62" s="1" t="s">
        <v>14</v>
      </c>
      <c r="D62" s="3">
        <v>45408</v>
      </c>
      <c r="E62" s="1" t="s">
        <v>19</v>
      </c>
      <c r="F62" s="4">
        <v>15</v>
      </c>
      <c r="G62" s="1" t="s">
        <v>16</v>
      </c>
      <c r="H62" s="1" t="s">
        <v>15</v>
      </c>
      <c r="I62" s="4">
        <v>30</v>
      </c>
      <c r="J62" s="1" t="s">
        <v>15</v>
      </c>
      <c r="K62" s="4">
        <v>20</v>
      </c>
      <c r="L62" s="4">
        <v>5</v>
      </c>
      <c r="M62" s="4">
        <v>60</v>
      </c>
    </row>
    <row r="63" spans="1:13" ht="16.5" hidden="1" customHeight="1" x14ac:dyDescent="0.25">
      <c r="A63" s="1">
        <v>3292</v>
      </c>
      <c r="B63" s="1" t="s">
        <v>83</v>
      </c>
      <c r="C63" s="1" t="s">
        <v>23</v>
      </c>
      <c r="D63" s="3">
        <v>45409</v>
      </c>
      <c r="E63" s="1" t="s">
        <v>15</v>
      </c>
      <c r="F63" s="4">
        <v>10</v>
      </c>
      <c r="G63" s="1" t="s">
        <v>20</v>
      </c>
      <c r="H63" s="1" t="s">
        <v>19</v>
      </c>
      <c r="I63" s="4" t="s">
        <v>21</v>
      </c>
      <c r="J63" s="1" t="s">
        <v>15</v>
      </c>
      <c r="K63" s="4">
        <v>20</v>
      </c>
      <c r="L63" s="4">
        <v>15</v>
      </c>
      <c r="M63" s="4">
        <v>15</v>
      </c>
    </row>
    <row r="64" spans="1:13" ht="16.5" hidden="1" customHeight="1" x14ac:dyDescent="0.25">
      <c r="A64" s="1">
        <v>3293</v>
      </c>
      <c r="B64" s="1" t="s">
        <v>84</v>
      </c>
      <c r="C64" s="1" t="s">
        <v>18</v>
      </c>
      <c r="D64" s="3">
        <v>45410</v>
      </c>
      <c r="E64" s="1" t="s">
        <v>19</v>
      </c>
      <c r="F64" s="4">
        <v>5</v>
      </c>
      <c r="G64" s="1" t="s">
        <v>16</v>
      </c>
      <c r="H64" s="1" t="s">
        <v>19</v>
      </c>
      <c r="I64" s="4" t="s">
        <v>21</v>
      </c>
      <c r="J64" s="1" t="s">
        <v>19</v>
      </c>
      <c r="K64" s="4">
        <v>0</v>
      </c>
      <c r="L64" s="4">
        <v>1</v>
      </c>
      <c r="M64" s="4">
        <v>4</v>
      </c>
    </row>
    <row r="65" spans="1:13" ht="16.5" customHeight="1" x14ac:dyDescent="0.25">
      <c r="A65" s="1">
        <v>3294</v>
      </c>
      <c r="B65" s="1" t="s">
        <v>85</v>
      </c>
      <c r="C65" s="1" t="s">
        <v>14</v>
      </c>
      <c r="D65" s="3">
        <v>45411</v>
      </c>
      <c r="E65" s="1" t="s">
        <v>15</v>
      </c>
      <c r="F65" s="4">
        <v>15</v>
      </c>
      <c r="G65" s="1" t="s">
        <v>24</v>
      </c>
      <c r="H65" s="1" t="s">
        <v>15</v>
      </c>
      <c r="I65" s="4">
        <v>30</v>
      </c>
      <c r="J65" s="1" t="s">
        <v>15</v>
      </c>
      <c r="K65" s="4">
        <v>20</v>
      </c>
      <c r="L65" s="4">
        <v>20</v>
      </c>
      <c r="M65" s="4">
        <v>45</v>
      </c>
    </row>
    <row r="66" spans="1:13" ht="16.5" hidden="1" customHeight="1" x14ac:dyDescent="0.25">
      <c r="A66" s="1">
        <v>3295</v>
      </c>
      <c r="B66" s="1" t="s">
        <v>86</v>
      </c>
      <c r="C66" s="1" t="s">
        <v>23</v>
      </c>
      <c r="D66" s="3">
        <v>45412</v>
      </c>
      <c r="E66" s="1" t="s">
        <v>19</v>
      </c>
      <c r="F66" s="4">
        <v>10</v>
      </c>
      <c r="G66" s="1" t="s">
        <v>16</v>
      </c>
      <c r="H66" s="1" t="s">
        <v>19</v>
      </c>
      <c r="I66" s="4" t="s">
        <v>21</v>
      </c>
      <c r="J66" s="1" t="s">
        <v>15</v>
      </c>
      <c r="K66" s="4">
        <v>20</v>
      </c>
      <c r="L66" s="4">
        <v>5</v>
      </c>
      <c r="M66" s="4">
        <v>25</v>
      </c>
    </row>
    <row r="67" spans="1:13" ht="16.5" hidden="1" customHeight="1" x14ac:dyDescent="0.25">
      <c r="A67" s="1">
        <v>3296</v>
      </c>
      <c r="B67" s="1" t="s">
        <v>87</v>
      </c>
      <c r="C67" s="1" t="s">
        <v>18</v>
      </c>
      <c r="D67" s="3">
        <v>45413</v>
      </c>
      <c r="E67" s="1" t="s">
        <v>19</v>
      </c>
      <c r="F67" s="4">
        <v>5</v>
      </c>
      <c r="G67" s="1" t="s">
        <v>16</v>
      </c>
      <c r="H67" s="1" t="s">
        <v>19</v>
      </c>
      <c r="I67" s="4" t="s">
        <v>21</v>
      </c>
      <c r="J67" s="1" t="s">
        <v>19</v>
      </c>
      <c r="K67" s="4">
        <v>0</v>
      </c>
      <c r="L67" s="4">
        <v>0</v>
      </c>
      <c r="M67" s="4">
        <v>5</v>
      </c>
    </row>
    <row r="68" spans="1:13" ht="16.5" customHeight="1" x14ac:dyDescent="0.25">
      <c r="A68" s="1">
        <v>3297</v>
      </c>
      <c r="B68" s="1" t="s">
        <v>88</v>
      </c>
      <c r="C68" s="1" t="s">
        <v>14</v>
      </c>
      <c r="D68" s="3">
        <v>45414</v>
      </c>
      <c r="E68" s="1" t="s">
        <v>15</v>
      </c>
      <c r="F68" s="4">
        <v>15</v>
      </c>
      <c r="G68" s="1" t="s">
        <v>24</v>
      </c>
      <c r="H68" s="1" t="s">
        <v>15</v>
      </c>
      <c r="I68" s="4">
        <v>30</v>
      </c>
      <c r="J68" s="1" t="s">
        <v>15</v>
      </c>
      <c r="K68" s="4">
        <v>20</v>
      </c>
      <c r="L68" s="4">
        <v>7</v>
      </c>
      <c r="M68" s="4">
        <v>58</v>
      </c>
    </row>
    <row r="69" spans="1:13" ht="16.5" hidden="1" customHeight="1" x14ac:dyDescent="0.25">
      <c r="A69" s="1">
        <v>3298</v>
      </c>
      <c r="B69" s="1" t="s">
        <v>89</v>
      </c>
      <c r="C69" s="1" t="s">
        <v>23</v>
      </c>
      <c r="D69" s="3">
        <v>45415</v>
      </c>
      <c r="E69" s="1" t="s">
        <v>19</v>
      </c>
      <c r="F69" s="4">
        <v>10</v>
      </c>
      <c r="G69" s="1" t="s">
        <v>20</v>
      </c>
      <c r="H69" s="1" t="s">
        <v>19</v>
      </c>
      <c r="I69" s="4" t="s">
        <v>21</v>
      </c>
      <c r="J69" s="1" t="s">
        <v>15</v>
      </c>
      <c r="K69" s="4">
        <v>20</v>
      </c>
      <c r="L69" s="4">
        <v>10</v>
      </c>
      <c r="M69" s="4">
        <v>20</v>
      </c>
    </row>
    <row r="70" spans="1:13" ht="16.5" hidden="1" customHeight="1" x14ac:dyDescent="0.25">
      <c r="A70" s="1">
        <v>3299</v>
      </c>
      <c r="B70" s="1" t="s">
        <v>90</v>
      </c>
      <c r="C70" s="1" t="s">
        <v>18</v>
      </c>
      <c r="D70" s="3">
        <v>45416</v>
      </c>
      <c r="E70" s="1" t="s">
        <v>15</v>
      </c>
      <c r="F70" s="4">
        <v>5</v>
      </c>
      <c r="G70" s="1" t="s">
        <v>24</v>
      </c>
      <c r="H70" s="1" t="s">
        <v>19</v>
      </c>
      <c r="I70" s="4" t="s">
        <v>21</v>
      </c>
      <c r="J70" s="1" t="s">
        <v>19</v>
      </c>
      <c r="K70" s="4">
        <v>0</v>
      </c>
      <c r="L70" s="4">
        <v>1</v>
      </c>
      <c r="M70" s="4">
        <v>4</v>
      </c>
    </row>
    <row r="71" spans="1:13" ht="16.5" customHeight="1" x14ac:dyDescent="0.25">
      <c r="A71" s="1">
        <v>3300</v>
      </c>
      <c r="B71" s="1" t="s">
        <v>91</v>
      </c>
      <c r="C71" s="1" t="s">
        <v>14</v>
      </c>
      <c r="D71" s="3">
        <v>45417</v>
      </c>
      <c r="E71" s="1" t="s">
        <v>19</v>
      </c>
      <c r="F71" s="4">
        <v>15</v>
      </c>
      <c r="G71" s="1" t="s">
        <v>16</v>
      </c>
      <c r="H71" s="1" t="s">
        <v>15</v>
      </c>
      <c r="I71" s="4">
        <v>30</v>
      </c>
      <c r="J71" s="1" t="s">
        <v>15</v>
      </c>
      <c r="K71" s="4">
        <v>20</v>
      </c>
      <c r="L71" s="4">
        <v>15</v>
      </c>
      <c r="M71" s="4">
        <v>50</v>
      </c>
    </row>
    <row r="72" spans="1:13" ht="16.5" hidden="1" customHeight="1" x14ac:dyDescent="0.25">
      <c r="A72" s="1">
        <v>3301</v>
      </c>
      <c r="B72" s="1" t="s">
        <v>92</v>
      </c>
      <c r="C72" s="1" t="s">
        <v>23</v>
      </c>
      <c r="D72" s="3">
        <v>45418</v>
      </c>
      <c r="E72" s="1" t="s">
        <v>15</v>
      </c>
      <c r="F72" s="4">
        <v>10</v>
      </c>
      <c r="G72" s="1" t="s">
        <v>16</v>
      </c>
      <c r="H72" s="1" t="s">
        <v>19</v>
      </c>
      <c r="I72" s="4" t="s">
        <v>21</v>
      </c>
      <c r="J72" s="1" t="s">
        <v>15</v>
      </c>
      <c r="K72" s="4">
        <v>20</v>
      </c>
      <c r="L72" s="4">
        <v>5</v>
      </c>
      <c r="M72" s="4">
        <v>25</v>
      </c>
    </row>
    <row r="73" spans="1:13" ht="16.5" hidden="1" customHeight="1" x14ac:dyDescent="0.25">
      <c r="A73" s="1">
        <v>3302</v>
      </c>
      <c r="B73" s="1" t="s">
        <v>93</v>
      </c>
      <c r="C73" s="1" t="s">
        <v>18</v>
      </c>
      <c r="D73" s="3">
        <v>45419</v>
      </c>
      <c r="E73" s="1" t="s">
        <v>19</v>
      </c>
      <c r="F73" s="4">
        <v>5</v>
      </c>
      <c r="G73" s="1" t="s">
        <v>20</v>
      </c>
      <c r="H73" s="1" t="s">
        <v>19</v>
      </c>
      <c r="I73" s="4" t="s">
        <v>21</v>
      </c>
      <c r="J73" s="1" t="s">
        <v>19</v>
      </c>
      <c r="K73" s="4">
        <v>0</v>
      </c>
      <c r="L73" s="4">
        <v>0</v>
      </c>
      <c r="M73" s="4">
        <v>5</v>
      </c>
    </row>
    <row r="74" spans="1:13" ht="16.5" customHeight="1" x14ac:dyDescent="0.25">
      <c r="A74" s="1">
        <v>3303</v>
      </c>
      <c r="B74" s="1" t="s">
        <v>94</v>
      </c>
      <c r="C74" s="1" t="s">
        <v>14</v>
      </c>
      <c r="D74" s="3">
        <v>45420</v>
      </c>
      <c r="E74" s="1" t="s">
        <v>15</v>
      </c>
      <c r="F74" s="4">
        <v>15</v>
      </c>
      <c r="G74" s="1" t="s">
        <v>24</v>
      </c>
      <c r="H74" s="1" t="s">
        <v>15</v>
      </c>
      <c r="I74" s="4">
        <v>30</v>
      </c>
      <c r="J74" s="1" t="s">
        <v>15</v>
      </c>
      <c r="K74" s="4">
        <v>20</v>
      </c>
      <c r="L74" s="4">
        <v>20</v>
      </c>
      <c r="M74" s="4">
        <v>45</v>
      </c>
    </row>
    <row r="75" spans="1:13" ht="16.5" hidden="1" customHeight="1" x14ac:dyDescent="0.25">
      <c r="A75" s="1">
        <v>3304</v>
      </c>
      <c r="B75" s="1" t="s">
        <v>95</v>
      </c>
      <c r="C75" s="1" t="s">
        <v>23</v>
      </c>
      <c r="D75" s="3">
        <v>45421</v>
      </c>
      <c r="E75" s="1" t="s">
        <v>19</v>
      </c>
      <c r="F75" s="4">
        <v>10</v>
      </c>
      <c r="G75" s="1" t="s">
        <v>24</v>
      </c>
      <c r="H75" s="1" t="s">
        <v>19</v>
      </c>
      <c r="I75" s="4" t="s">
        <v>21</v>
      </c>
      <c r="J75" s="1" t="s">
        <v>15</v>
      </c>
      <c r="K75" s="4">
        <v>20</v>
      </c>
      <c r="L75" s="4">
        <v>12</v>
      </c>
      <c r="M75" s="4">
        <v>18</v>
      </c>
    </row>
    <row r="76" spans="1:13" ht="16.5" hidden="1" customHeight="1" x14ac:dyDescent="0.25">
      <c r="A76" s="1">
        <v>3305</v>
      </c>
      <c r="B76" s="1" t="s">
        <v>96</v>
      </c>
      <c r="C76" s="1" t="s">
        <v>18</v>
      </c>
      <c r="D76" s="3">
        <v>45422</v>
      </c>
      <c r="E76" s="1" t="s">
        <v>15</v>
      </c>
      <c r="F76" s="4">
        <v>5</v>
      </c>
      <c r="G76" s="1" t="s">
        <v>16</v>
      </c>
      <c r="H76" s="1" t="s">
        <v>19</v>
      </c>
      <c r="I76" s="4" t="s">
        <v>21</v>
      </c>
      <c r="J76" s="1" t="s">
        <v>19</v>
      </c>
      <c r="K76" s="4">
        <v>0</v>
      </c>
      <c r="L76" s="4">
        <v>2</v>
      </c>
      <c r="M76" s="4">
        <v>3</v>
      </c>
    </row>
    <row r="77" spans="1:13" ht="16.5" customHeight="1" x14ac:dyDescent="0.25">
      <c r="A77" s="1">
        <v>3306</v>
      </c>
      <c r="B77" s="1" t="s">
        <v>97</v>
      </c>
      <c r="C77" s="1" t="s">
        <v>14</v>
      </c>
      <c r="D77" s="3">
        <v>45423</v>
      </c>
      <c r="E77" s="1" t="s">
        <v>19</v>
      </c>
      <c r="F77" s="4">
        <v>15</v>
      </c>
      <c r="G77" s="1" t="s">
        <v>20</v>
      </c>
      <c r="H77" s="1" t="s">
        <v>15</v>
      </c>
      <c r="I77" s="4">
        <v>30</v>
      </c>
      <c r="J77" s="1" t="s">
        <v>15</v>
      </c>
      <c r="K77" s="4">
        <v>20</v>
      </c>
      <c r="L77" s="4">
        <v>5</v>
      </c>
      <c r="M77" s="4">
        <v>60</v>
      </c>
    </row>
    <row r="78" spans="1:13" ht="16.5" hidden="1" customHeight="1" x14ac:dyDescent="0.25">
      <c r="A78" s="1">
        <v>3307</v>
      </c>
      <c r="B78" s="1" t="s">
        <v>98</v>
      </c>
      <c r="C78" s="1" t="s">
        <v>23</v>
      </c>
      <c r="D78" s="3">
        <v>45424</v>
      </c>
      <c r="E78" s="1" t="s">
        <v>15</v>
      </c>
      <c r="F78" s="4">
        <v>10</v>
      </c>
      <c r="G78" s="1" t="s">
        <v>16</v>
      </c>
      <c r="H78" s="1" t="s">
        <v>19</v>
      </c>
      <c r="I78" s="4" t="s">
        <v>21</v>
      </c>
      <c r="J78" s="1" t="s">
        <v>15</v>
      </c>
      <c r="K78" s="4">
        <v>20</v>
      </c>
      <c r="L78" s="4">
        <v>10</v>
      </c>
      <c r="M78" s="4">
        <v>20</v>
      </c>
    </row>
    <row r="79" spans="1:13" ht="16.5" hidden="1" customHeight="1" x14ac:dyDescent="0.25">
      <c r="A79" s="1">
        <v>3308</v>
      </c>
      <c r="B79" s="1" t="s">
        <v>99</v>
      </c>
      <c r="C79" s="1" t="s">
        <v>18</v>
      </c>
      <c r="D79" s="3">
        <v>45425</v>
      </c>
      <c r="E79" s="1" t="s">
        <v>19</v>
      </c>
      <c r="F79" s="4">
        <v>5</v>
      </c>
      <c r="G79" s="1" t="s">
        <v>24</v>
      </c>
      <c r="H79" s="1" t="s">
        <v>19</v>
      </c>
      <c r="I79" s="4" t="s">
        <v>21</v>
      </c>
      <c r="J79" s="1" t="s">
        <v>19</v>
      </c>
      <c r="K79" s="4">
        <v>0</v>
      </c>
      <c r="L79" s="4">
        <v>0</v>
      </c>
      <c r="M79" s="4">
        <v>5</v>
      </c>
    </row>
    <row r="80" spans="1:13" ht="16.5" customHeight="1" x14ac:dyDescent="0.25">
      <c r="A80" s="1">
        <v>3309</v>
      </c>
      <c r="B80" s="1" t="s">
        <v>100</v>
      </c>
      <c r="C80" s="1" t="s">
        <v>14</v>
      </c>
      <c r="D80" s="3">
        <v>45426</v>
      </c>
      <c r="E80" s="1" t="s">
        <v>15</v>
      </c>
      <c r="F80" s="4">
        <v>15</v>
      </c>
      <c r="G80" s="1" t="s">
        <v>16</v>
      </c>
      <c r="H80" s="1" t="s">
        <v>15</v>
      </c>
      <c r="I80" s="4">
        <v>30</v>
      </c>
      <c r="J80" s="1" t="s">
        <v>15</v>
      </c>
      <c r="K80" s="4">
        <v>20</v>
      </c>
      <c r="L80" s="4">
        <v>3</v>
      </c>
      <c r="M80" s="4">
        <v>62</v>
      </c>
    </row>
    <row r="81" spans="1:13" ht="16.5" hidden="1" customHeight="1" x14ac:dyDescent="0.25">
      <c r="A81" s="1">
        <v>3310</v>
      </c>
      <c r="B81" s="1" t="s">
        <v>101</v>
      </c>
      <c r="C81" s="1" t="s">
        <v>23</v>
      </c>
      <c r="D81" s="3">
        <v>45427</v>
      </c>
      <c r="E81" s="1" t="s">
        <v>19</v>
      </c>
      <c r="F81" s="4">
        <v>10</v>
      </c>
      <c r="G81" s="1" t="s">
        <v>20</v>
      </c>
      <c r="H81" s="1" t="s">
        <v>19</v>
      </c>
      <c r="I81" s="4" t="s">
        <v>21</v>
      </c>
      <c r="J81" s="1" t="s">
        <v>15</v>
      </c>
      <c r="K81" s="4">
        <v>20</v>
      </c>
      <c r="L81" s="4">
        <v>15</v>
      </c>
      <c r="M81" s="4">
        <v>15</v>
      </c>
    </row>
    <row r="82" spans="1:13" ht="16.5" hidden="1" customHeight="1" x14ac:dyDescent="0.25">
      <c r="A82" s="1">
        <v>3311</v>
      </c>
      <c r="B82" s="1" t="s">
        <v>102</v>
      </c>
      <c r="C82" s="1" t="s">
        <v>18</v>
      </c>
      <c r="D82" s="3">
        <v>45428</v>
      </c>
      <c r="E82" s="1" t="s">
        <v>15</v>
      </c>
      <c r="F82" s="4">
        <v>5</v>
      </c>
      <c r="G82" s="1" t="s">
        <v>16</v>
      </c>
      <c r="H82" s="1" t="s">
        <v>19</v>
      </c>
      <c r="I82" s="4" t="s">
        <v>21</v>
      </c>
      <c r="J82" s="1" t="s">
        <v>19</v>
      </c>
      <c r="K82" s="4">
        <v>0</v>
      </c>
      <c r="L82" s="4">
        <v>1</v>
      </c>
      <c r="M82" s="4">
        <v>4</v>
      </c>
    </row>
    <row r="83" spans="1:13" ht="16.5" customHeight="1" x14ac:dyDescent="0.25">
      <c r="A83" s="1">
        <v>3312</v>
      </c>
      <c r="B83" s="1" t="s">
        <v>103</v>
      </c>
      <c r="C83" s="1" t="s">
        <v>14</v>
      </c>
      <c r="D83" s="3">
        <v>45429</v>
      </c>
      <c r="E83" s="1" t="s">
        <v>19</v>
      </c>
      <c r="F83" s="4">
        <v>15</v>
      </c>
      <c r="G83" s="1" t="s">
        <v>24</v>
      </c>
      <c r="H83" s="1" t="s">
        <v>15</v>
      </c>
      <c r="I83" s="4">
        <v>30</v>
      </c>
      <c r="J83" s="1" t="s">
        <v>15</v>
      </c>
      <c r="K83" s="4">
        <v>20</v>
      </c>
      <c r="L83" s="4">
        <v>7</v>
      </c>
      <c r="M83" s="4">
        <v>58</v>
      </c>
    </row>
    <row r="84" spans="1:13" ht="16.5" hidden="1" customHeight="1" x14ac:dyDescent="0.25">
      <c r="A84" s="1">
        <v>3313</v>
      </c>
      <c r="B84" s="1" t="s">
        <v>104</v>
      </c>
      <c r="C84" s="1" t="s">
        <v>23</v>
      </c>
      <c r="D84" s="3">
        <v>45430</v>
      </c>
      <c r="E84" s="1" t="s">
        <v>15</v>
      </c>
      <c r="F84" s="4">
        <v>10</v>
      </c>
      <c r="G84" s="1" t="s">
        <v>16</v>
      </c>
      <c r="H84" s="1" t="s">
        <v>19</v>
      </c>
      <c r="I84" s="4" t="s">
        <v>21</v>
      </c>
      <c r="J84" s="1" t="s">
        <v>15</v>
      </c>
      <c r="K84" s="4">
        <v>20</v>
      </c>
      <c r="L84" s="4">
        <v>10</v>
      </c>
      <c r="M84" s="4">
        <v>20</v>
      </c>
    </row>
    <row r="85" spans="1:13" ht="16.5" hidden="1" customHeight="1" x14ac:dyDescent="0.25">
      <c r="A85" s="1">
        <v>3314</v>
      </c>
      <c r="B85" s="1" t="s">
        <v>105</v>
      </c>
      <c r="C85" s="1" t="s">
        <v>18</v>
      </c>
      <c r="D85" s="3">
        <v>45431</v>
      </c>
      <c r="E85" s="1" t="s">
        <v>19</v>
      </c>
      <c r="F85" s="4">
        <v>5</v>
      </c>
      <c r="G85" s="1" t="s">
        <v>20</v>
      </c>
      <c r="H85" s="1" t="s">
        <v>19</v>
      </c>
      <c r="I85" s="4" t="s">
        <v>21</v>
      </c>
      <c r="J85" s="1" t="s">
        <v>19</v>
      </c>
      <c r="K85" s="4">
        <v>0</v>
      </c>
      <c r="L85" s="4">
        <v>0</v>
      </c>
      <c r="M85" s="4">
        <v>5</v>
      </c>
    </row>
    <row r="86" spans="1:13" ht="16.5" customHeight="1" x14ac:dyDescent="0.25">
      <c r="A86" s="1">
        <v>3315</v>
      </c>
      <c r="B86" s="1" t="s">
        <v>106</v>
      </c>
      <c r="C86" s="1" t="s">
        <v>14</v>
      </c>
      <c r="D86" s="3">
        <v>45432</v>
      </c>
      <c r="E86" s="1" t="s">
        <v>15</v>
      </c>
      <c r="F86" s="4">
        <v>15</v>
      </c>
      <c r="G86" s="1" t="s">
        <v>16</v>
      </c>
      <c r="H86" s="1" t="s">
        <v>15</v>
      </c>
      <c r="I86" s="4">
        <v>30</v>
      </c>
      <c r="J86" s="1" t="s">
        <v>15</v>
      </c>
      <c r="K86" s="4">
        <v>20</v>
      </c>
      <c r="L86" s="4">
        <v>20</v>
      </c>
      <c r="M86" s="4">
        <v>45</v>
      </c>
    </row>
    <row r="87" spans="1:13" ht="16.5" hidden="1" customHeight="1" x14ac:dyDescent="0.25">
      <c r="A87" s="1">
        <v>3316</v>
      </c>
      <c r="B87" s="1" t="s">
        <v>107</v>
      </c>
      <c r="C87" s="1" t="s">
        <v>23</v>
      </c>
      <c r="D87" s="3">
        <v>45433</v>
      </c>
      <c r="E87" s="1" t="s">
        <v>19</v>
      </c>
      <c r="F87" s="4">
        <v>10</v>
      </c>
      <c r="G87" s="1" t="s">
        <v>24</v>
      </c>
      <c r="H87" s="1" t="s">
        <v>19</v>
      </c>
      <c r="I87" s="4" t="s">
        <v>21</v>
      </c>
      <c r="J87" s="1" t="s">
        <v>15</v>
      </c>
      <c r="K87" s="4">
        <v>20</v>
      </c>
      <c r="L87" s="4">
        <v>15</v>
      </c>
      <c r="M87" s="4">
        <v>15</v>
      </c>
    </row>
    <row r="88" spans="1:13" ht="16.5" hidden="1" customHeight="1" x14ac:dyDescent="0.25">
      <c r="A88" s="1">
        <v>3317</v>
      </c>
      <c r="B88" s="1" t="s">
        <v>108</v>
      </c>
      <c r="C88" s="1" t="s">
        <v>18</v>
      </c>
      <c r="D88" s="3">
        <v>45434</v>
      </c>
      <c r="E88" s="1" t="s">
        <v>15</v>
      </c>
      <c r="F88" s="4">
        <v>5</v>
      </c>
      <c r="G88" s="1" t="s">
        <v>16</v>
      </c>
      <c r="H88" s="1" t="s">
        <v>19</v>
      </c>
      <c r="I88" s="4" t="s">
        <v>21</v>
      </c>
      <c r="J88" s="1" t="s">
        <v>19</v>
      </c>
      <c r="K88" s="4">
        <v>0</v>
      </c>
      <c r="L88" s="4">
        <v>1</v>
      </c>
      <c r="M88" s="4">
        <v>4</v>
      </c>
    </row>
    <row r="89" spans="1:13" ht="16.5" customHeight="1" x14ac:dyDescent="0.25">
      <c r="A89" s="1">
        <v>3318</v>
      </c>
      <c r="B89" s="1" t="s">
        <v>109</v>
      </c>
      <c r="C89" s="1" t="s">
        <v>14</v>
      </c>
      <c r="D89" s="3">
        <v>45435</v>
      </c>
      <c r="E89" s="1" t="s">
        <v>19</v>
      </c>
      <c r="F89" s="4">
        <v>15</v>
      </c>
      <c r="G89" s="1" t="s">
        <v>20</v>
      </c>
      <c r="H89" s="1" t="s">
        <v>15</v>
      </c>
      <c r="I89" s="4">
        <v>30</v>
      </c>
      <c r="J89" s="1" t="s">
        <v>15</v>
      </c>
      <c r="K89" s="4">
        <v>20</v>
      </c>
      <c r="L89" s="4">
        <v>3</v>
      </c>
      <c r="M89" s="4">
        <v>62</v>
      </c>
    </row>
    <row r="90" spans="1:13" ht="16.5" hidden="1" customHeight="1" x14ac:dyDescent="0.25">
      <c r="A90" s="1">
        <v>3319</v>
      </c>
      <c r="B90" s="1" t="s">
        <v>110</v>
      </c>
      <c r="C90" s="1" t="s">
        <v>23</v>
      </c>
      <c r="D90" s="3">
        <v>45436</v>
      </c>
      <c r="E90" s="1" t="s">
        <v>15</v>
      </c>
      <c r="F90" s="4">
        <v>10</v>
      </c>
      <c r="G90" s="1" t="s">
        <v>16</v>
      </c>
      <c r="H90" s="1" t="s">
        <v>19</v>
      </c>
      <c r="I90" s="4" t="s">
        <v>21</v>
      </c>
      <c r="J90" s="1" t="s">
        <v>15</v>
      </c>
      <c r="K90" s="4">
        <v>20</v>
      </c>
      <c r="L90" s="4">
        <v>10</v>
      </c>
      <c r="M90" s="4">
        <v>20</v>
      </c>
    </row>
    <row r="91" spans="1:13" ht="16.5" hidden="1" customHeight="1" x14ac:dyDescent="0.25">
      <c r="A91" s="1">
        <v>3320</v>
      </c>
      <c r="B91" s="1" t="s">
        <v>111</v>
      </c>
      <c r="C91" s="1" t="s">
        <v>18</v>
      </c>
      <c r="D91" s="3">
        <v>45437</v>
      </c>
      <c r="E91" s="1" t="s">
        <v>19</v>
      </c>
      <c r="F91" s="4">
        <v>5</v>
      </c>
      <c r="G91" s="1" t="s">
        <v>24</v>
      </c>
      <c r="H91" s="1" t="s">
        <v>19</v>
      </c>
      <c r="I91" s="4" t="s">
        <v>21</v>
      </c>
      <c r="J91" s="1" t="s">
        <v>19</v>
      </c>
      <c r="K91" s="4">
        <v>0</v>
      </c>
      <c r="L91" s="4">
        <v>0</v>
      </c>
      <c r="M91" s="4">
        <v>5</v>
      </c>
    </row>
    <row r="92" spans="1:13" ht="16.5" customHeight="1" x14ac:dyDescent="0.25">
      <c r="A92" s="1">
        <v>3321</v>
      </c>
      <c r="B92" s="1" t="s">
        <v>112</v>
      </c>
      <c r="C92" s="1" t="s">
        <v>14</v>
      </c>
      <c r="D92" s="3">
        <v>45438</v>
      </c>
      <c r="E92" s="1" t="s">
        <v>15</v>
      </c>
      <c r="F92" s="4">
        <v>15</v>
      </c>
      <c r="G92" s="1" t="s">
        <v>16</v>
      </c>
      <c r="H92" s="1" t="s">
        <v>15</v>
      </c>
      <c r="I92" s="4">
        <v>30</v>
      </c>
      <c r="J92" s="1" t="s">
        <v>15</v>
      </c>
      <c r="K92" s="4">
        <v>20</v>
      </c>
      <c r="L92" s="4">
        <v>5</v>
      </c>
      <c r="M92" s="4">
        <v>60</v>
      </c>
    </row>
    <row r="93" spans="1:13" ht="16.5" hidden="1" customHeight="1" x14ac:dyDescent="0.25">
      <c r="A93" s="1">
        <v>3322</v>
      </c>
      <c r="B93" s="1" t="s">
        <v>113</v>
      </c>
      <c r="C93" s="1" t="s">
        <v>23</v>
      </c>
      <c r="D93" s="3">
        <v>45439</v>
      </c>
      <c r="E93" s="1" t="s">
        <v>19</v>
      </c>
      <c r="F93" s="4">
        <v>10</v>
      </c>
      <c r="G93" s="1" t="s">
        <v>20</v>
      </c>
      <c r="H93" s="1" t="s">
        <v>19</v>
      </c>
      <c r="I93" s="4" t="s">
        <v>21</v>
      </c>
      <c r="J93" s="1" t="s">
        <v>15</v>
      </c>
      <c r="K93" s="4">
        <v>20</v>
      </c>
      <c r="L93" s="4">
        <v>15</v>
      </c>
      <c r="M93" s="4">
        <v>15</v>
      </c>
    </row>
    <row r="94" spans="1:13" ht="16.5" hidden="1" customHeight="1" x14ac:dyDescent="0.25">
      <c r="A94" s="1">
        <v>3323</v>
      </c>
      <c r="B94" s="1" t="s">
        <v>114</v>
      </c>
      <c r="C94" s="1" t="s">
        <v>18</v>
      </c>
      <c r="D94" s="3">
        <v>45440</v>
      </c>
      <c r="E94" s="1" t="s">
        <v>15</v>
      </c>
      <c r="F94" s="4">
        <v>5</v>
      </c>
      <c r="G94" s="1" t="s">
        <v>16</v>
      </c>
      <c r="H94" s="1" t="s">
        <v>19</v>
      </c>
      <c r="I94" s="4" t="s">
        <v>21</v>
      </c>
      <c r="J94" s="1" t="s">
        <v>19</v>
      </c>
      <c r="K94" s="4">
        <v>0</v>
      </c>
      <c r="L94" s="4">
        <v>1</v>
      </c>
      <c r="M94" s="4">
        <v>4</v>
      </c>
    </row>
    <row r="95" spans="1:13" ht="16.5" customHeight="1" x14ac:dyDescent="0.25">
      <c r="A95" s="1">
        <v>3324</v>
      </c>
      <c r="B95" s="1" t="s">
        <v>115</v>
      </c>
      <c r="C95" s="1" t="s">
        <v>14</v>
      </c>
      <c r="D95" s="3">
        <v>45441</v>
      </c>
      <c r="E95" s="1" t="s">
        <v>19</v>
      </c>
      <c r="F95" s="4">
        <v>15</v>
      </c>
      <c r="G95" s="1" t="s">
        <v>24</v>
      </c>
      <c r="H95" s="1" t="s">
        <v>15</v>
      </c>
      <c r="I95" s="4">
        <v>30</v>
      </c>
      <c r="J95" s="1" t="s">
        <v>15</v>
      </c>
      <c r="K95" s="4">
        <v>20</v>
      </c>
      <c r="L95" s="4">
        <v>20</v>
      </c>
      <c r="M95" s="4">
        <v>45</v>
      </c>
    </row>
    <row r="96" spans="1:13" ht="16.5" hidden="1" customHeight="1" x14ac:dyDescent="0.25">
      <c r="A96" s="1">
        <v>3325</v>
      </c>
      <c r="B96" s="1" t="s">
        <v>116</v>
      </c>
      <c r="C96" s="1" t="s">
        <v>23</v>
      </c>
      <c r="D96" s="3">
        <v>45442</v>
      </c>
      <c r="E96" s="1" t="s">
        <v>15</v>
      </c>
      <c r="F96" s="4">
        <v>10</v>
      </c>
      <c r="G96" s="1" t="s">
        <v>24</v>
      </c>
      <c r="H96" s="1" t="s">
        <v>19</v>
      </c>
      <c r="I96" s="4" t="s">
        <v>21</v>
      </c>
      <c r="J96" s="1" t="s">
        <v>15</v>
      </c>
      <c r="K96" s="4">
        <v>20</v>
      </c>
      <c r="L96" s="4">
        <v>15</v>
      </c>
      <c r="M96" s="4">
        <v>15</v>
      </c>
    </row>
    <row r="97" spans="1:13" ht="16.5" hidden="1" customHeight="1" x14ac:dyDescent="0.25">
      <c r="A97" s="1">
        <v>3326</v>
      </c>
      <c r="B97" s="1" t="s">
        <v>117</v>
      </c>
      <c r="C97" s="1" t="s">
        <v>18</v>
      </c>
      <c r="D97" s="3">
        <v>45443</v>
      </c>
      <c r="E97" s="1" t="s">
        <v>19</v>
      </c>
      <c r="F97" s="4">
        <v>5</v>
      </c>
      <c r="G97" s="1" t="s">
        <v>20</v>
      </c>
      <c r="H97" s="1" t="s">
        <v>19</v>
      </c>
      <c r="I97" s="4" t="s">
        <v>21</v>
      </c>
      <c r="J97" s="1" t="s">
        <v>19</v>
      </c>
      <c r="K97" s="4">
        <v>0</v>
      </c>
      <c r="L97" s="4">
        <v>0</v>
      </c>
      <c r="M97" s="4">
        <v>5</v>
      </c>
    </row>
    <row r="98" spans="1:13" ht="16.5" customHeight="1" x14ac:dyDescent="0.25">
      <c r="A98" s="1">
        <v>3327</v>
      </c>
      <c r="B98" s="1" t="s">
        <v>118</v>
      </c>
      <c r="C98" s="1" t="s">
        <v>14</v>
      </c>
      <c r="D98" s="3">
        <v>45444</v>
      </c>
      <c r="E98" s="1" t="s">
        <v>15</v>
      </c>
      <c r="F98" s="4">
        <v>15</v>
      </c>
      <c r="G98" s="1" t="s">
        <v>16</v>
      </c>
      <c r="H98" s="1" t="s">
        <v>15</v>
      </c>
      <c r="I98" s="4">
        <v>30</v>
      </c>
      <c r="J98" s="1" t="s">
        <v>15</v>
      </c>
      <c r="K98" s="4">
        <v>20</v>
      </c>
      <c r="L98" s="4">
        <v>7</v>
      </c>
      <c r="M98" s="4">
        <v>58</v>
      </c>
    </row>
    <row r="99" spans="1:13" ht="16.5" hidden="1" customHeight="1" x14ac:dyDescent="0.25">
      <c r="A99" s="1">
        <v>3328</v>
      </c>
      <c r="B99" s="1" t="s">
        <v>119</v>
      </c>
      <c r="C99" s="1" t="s">
        <v>23</v>
      </c>
      <c r="D99" s="3">
        <v>45445</v>
      </c>
      <c r="E99" s="1" t="s">
        <v>19</v>
      </c>
      <c r="F99" s="4">
        <v>10</v>
      </c>
      <c r="G99" s="1" t="s">
        <v>20</v>
      </c>
      <c r="H99" s="1" t="s">
        <v>19</v>
      </c>
      <c r="I99" s="4" t="s">
        <v>21</v>
      </c>
      <c r="J99" s="1" t="s">
        <v>15</v>
      </c>
      <c r="K99" s="4">
        <v>20</v>
      </c>
      <c r="L99" s="4">
        <v>10</v>
      </c>
      <c r="M99" s="4">
        <v>20</v>
      </c>
    </row>
    <row r="100" spans="1:13" ht="16.5" hidden="1" customHeight="1" x14ac:dyDescent="0.25">
      <c r="A100" s="1">
        <v>3329</v>
      </c>
      <c r="B100" s="1" t="s">
        <v>120</v>
      </c>
      <c r="C100" s="1" t="s">
        <v>18</v>
      </c>
      <c r="D100" s="3">
        <v>45446</v>
      </c>
      <c r="E100" s="1" t="s">
        <v>15</v>
      </c>
      <c r="F100" s="4">
        <v>5</v>
      </c>
      <c r="G100" s="1" t="s">
        <v>24</v>
      </c>
      <c r="H100" s="1" t="s">
        <v>19</v>
      </c>
      <c r="I100" s="4" t="s">
        <v>21</v>
      </c>
      <c r="J100" s="1" t="s">
        <v>19</v>
      </c>
      <c r="K100" s="4">
        <v>0</v>
      </c>
      <c r="L100" s="4">
        <v>1</v>
      </c>
      <c r="M100" s="4">
        <v>4</v>
      </c>
    </row>
    <row r="101" spans="1:13" ht="16.5" customHeight="1" x14ac:dyDescent="0.25">
      <c r="A101" s="1">
        <v>3330</v>
      </c>
      <c r="B101" s="1" t="s">
        <v>121</v>
      </c>
      <c r="C101" s="1" t="s">
        <v>14</v>
      </c>
      <c r="D101" s="3">
        <v>45447</v>
      </c>
      <c r="E101" s="1" t="s">
        <v>19</v>
      </c>
      <c r="F101" s="4">
        <v>15</v>
      </c>
      <c r="G101" s="1" t="s">
        <v>16</v>
      </c>
      <c r="H101" s="1" t="s">
        <v>15</v>
      </c>
      <c r="I101" s="4">
        <v>30</v>
      </c>
      <c r="J101" s="1" t="s">
        <v>15</v>
      </c>
      <c r="K101" s="4">
        <v>20</v>
      </c>
      <c r="L101" s="4">
        <v>15</v>
      </c>
      <c r="M101" s="4">
        <v>50</v>
      </c>
    </row>
    <row r="102" spans="1:13" ht="16.5" hidden="1" customHeight="1" x14ac:dyDescent="0.25">
      <c r="A102" s="1">
        <v>3331</v>
      </c>
      <c r="B102" s="1" t="s">
        <v>122</v>
      </c>
      <c r="C102" s="1" t="s">
        <v>23</v>
      </c>
      <c r="D102" s="3">
        <v>45448</v>
      </c>
      <c r="E102" s="1" t="s">
        <v>15</v>
      </c>
      <c r="F102" s="4">
        <v>10</v>
      </c>
      <c r="G102" s="1" t="s">
        <v>16</v>
      </c>
      <c r="H102" s="1" t="s">
        <v>19</v>
      </c>
      <c r="I102" s="4" t="s">
        <v>21</v>
      </c>
      <c r="J102" s="1" t="s">
        <v>15</v>
      </c>
      <c r="K102" s="4">
        <v>20</v>
      </c>
      <c r="L102" s="4">
        <v>5</v>
      </c>
      <c r="M102" s="4">
        <v>25</v>
      </c>
    </row>
    <row r="103" spans="1:13" ht="16.5" hidden="1" customHeight="1" x14ac:dyDescent="0.25">
      <c r="A103" s="1">
        <v>3332</v>
      </c>
      <c r="B103" s="1" t="s">
        <v>123</v>
      </c>
      <c r="C103" s="1" t="s">
        <v>18</v>
      </c>
      <c r="D103" s="3">
        <v>45449</v>
      </c>
      <c r="E103" s="1" t="s">
        <v>19</v>
      </c>
      <c r="F103" s="4">
        <v>5</v>
      </c>
      <c r="G103" s="1" t="s">
        <v>20</v>
      </c>
      <c r="H103" s="1" t="s">
        <v>19</v>
      </c>
      <c r="I103" s="4" t="s">
        <v>21</v>
      </c>
      <c r="J103" s="1" t="s">
        <v>19</v>
      </c>
      <c r="K103" s="4">
        <v>0</v>
      </c>
      <c r="L103" s="4">
        <v>0</v>
      </c>
      <c r="M103" s="4">
        <v>5</v>
      </c>
    </row>
    <row r="104" spans="1:13" ht="16.5" customHeight="1" x14ac:dyDescent="0.25">
      <c r="A104" s="1">
        <v>3333</v>
      </c>
      <c r="B104" s="1" t="s">
        <v>124</v>
      </c>
      <c r="C104" s="1" t="s">
        <v>14</v>
      </c>
      <c r="D104" s="3">
        <v>45450</v>
      </c>
      <c r="E104" s="1" t="s">
        <v>15</v>
      </c>
      <c r="F104" s="4">
        <v>15</v>
      </c>
      <c r="G104" s="1" t="s">
        <v>24</v>
      </c>
      <c r="H104" s="1" t="s">
        <v>15</v>
      </c>
      <c r="I104" s="4">
        <v>30</v>
      </c>
      <c r="J104" s="1" t="s">
        <v>15</v>
      </c>
      <c r="K104" s="4">
        <v>20</v>
      </c>
      <c r="L104" s="4">
        <v>20</v>
      </c>
      <c r="M104" s="4">
        <v>45</v>
      </c>
    </row>
    <row r="105" spans="1:13" ht="16.5" hidden="1" customHeight="1" x14ac:dyDescent="0.25">
      <c r="A105" s="1">
        <v>3334</v>
      </c>
      <c r="B105" s="1" t="s">
        <v>125</v>
      </c>
      <c r="C105" s="1" t="s">
        <v>23</v>
      </c>
      <c r="D105" s="3">
        <v>45451</v>
      </c>
      <c r="E105" s="1" t="s">
        <v>19</v>
      </c>
      <c r="F105" s="4">
        <v>10</v>
      </c>
      <c r="G105" s="1" t="s">
        <v>24</v>
      </c>
      <c r="H105" s="1" t="s">
        <v>19</v>
      </c>
      <c r="I105" s="4" t="s">
        <v>21</v>
      </c>
      <c r="J105" s="1" t="s">
        <v>15</v>
      </c>
      <c r="K105" s="4">
        <v>20</v>
      </c>
      <c r="L105" s="4">
        <v>12</v>
      </c>
      <c r="M105" s="4">
        <v>18</v>
      </c>
    </row>
    <row r="106" spans="1:13" ht="16.5" hidden="1" customHeight="1" x14ac:dyDescent="0.25">
      <c r="A106" s="1">
        <v>3335</v>
      </c>
      <c r="B106" s="1" t="s">
        <v>126</v>
      </c>
      <c r="C106" s="1" t="s">
        <v>18</v>
      </c>
      <c r="D106" s="3">
        <v>45452</v>
      </c>
      <c r="E106" s="1" t="s">
        <v>15</v>
      </c>
      <c r="F106" s="4">
        <v>5</v>
      </c>
      <c r="G106" s="1" t="s">
        <v>16</v>
      </c>
      <c r="H106" s="1" t="s">
        <v>19</v>
      </c>
      <c r="I106" s="4" t="s">
        <v>21</v>
      </c>
      <c r="J106" s="1" t="s">
        <v>19</v>
      </c>
      <c r="K106" s="4">
        <v>0</v>
      </c>
      <c r="L106" s="4">
        <v>2</v>
      </c>
      <c r="M106" s="4">
        <v>3</v>
      </c>
    </row>
    <row r="107" spans="1:13" ht="16.5" hidden="1" customHeight="1" x14ac:dyDescent="0.25">
      <c r="A107" s="1">
        <v>3336</v>
      </c>
      <c r="B107" s="1" t="s">
        <v>127</v>
      </c>
      <c r="C107" s="1" t="s">
        <v>18</v>
      </c>
      <c r="D107" s="3">
        <v>45453</v>
      </c>
      <c r="E107" s="1" t="s">
        <v>15</v>
      </c>
      <c r="F107" s="4">
        <v>5</v>
      </c>
      <c r="G107" s="1" t="s">
        <v>16</v>
      </c>
      <c r="H107" s="1" t="s">
        <v>19</v>
      </c>
      <c r="I107" s="4" t="s">
        <v>21</v>
      </c>
      <c r="J107" s="1" t="s">
        <v>19</v>
      </c>
      <c r="K107" s="4">
        <v>0</v>
      </c>
      <c r="L107" s="4">
        <v>0</v>
      </c>
      <c r="M107" s="4">
        <v>5</v>
      </c>
    </row>
    <row r="108" spans="1:13" ht="16.5" customHeight="1" x14ac:dyDescent="0.25">
      <c r="A108" s="1">
        <v>3337</v>
      </c>
      <c r="B108" s="1" t="s">
        <v>128</v>
      </c>
      <c r="C108" s="1" t="s">
        <v>14</v>
      </c>
      <c r="D108" s="3">
        <v>45454</v>
      </c>
      <c r="E108" s="1" t="s">
        <v>19</v>
      </c>
      <c r="F108" s="4">
        <v>15</v>
      </c>
      <c r="G108" s="1" t="s">
        <v>24</v>
      </c>
      <c r="H108" s="1" t="s">
        <v>15</v>
      </c>
      <c r="I108" s="4">
        <v>30</v>
      </c>
      <c r="J108" s="1" t="s">
        <v>15</v>
      </c>
      <c r="K108" s="4">
        <v>20</v>
      </c>
      <c r="L108" s="4">
        <v>7</v>
      </c>
      <c r="M108" s="4">
        <v>58</v>
      </c>
    </row>
    <row r="109" spans="1:13" ht="16.5" hidden="1" customHeight="1" x14ac:dyDescent="0.25">
      <c r="A109" s="1">
        <v>3338</v>
      </c>
      <c r="B109" s="1" t="s">
        <v>129</v>
      </c>
      <c r="C109" s="1" t="s">
        <v>23</v>
      </c>
      <c r="D109" s="3">
        <v>45455</v>
      </c>
      <c r="E109" s="1" t="s">
        <v>15</v>
      </c>
      <c r="F109" s="4">
        <v>10</v>
      </c>
      <c r="G109" s="1" t="s">
        <v>20</v>
      </c>
      <c r="H109" s="1" t="s">
        <v>19</v>
      </c>
      <c r="I109" s="4" t="s">
        <v>21</v>
      </c>
      <c r="J109" s="1" t="s">
        <v>15</v>
      </c>
      <c r="K109" s="4">
        <v>20</v>
      </c>
      <c r="L109" s="4">
        <v>10</v>
      </c>
      <c r="M109" s="4">
        <v>20</v>
      </c>
    </row>
    <row r="110" spans="1:13" ht="16.5" hidden="1" customHeight="1" x14ac:dyDescent="0.25">
      <c r="A110" s="1">
        <v>3339</v>
      </c>
      <c r="B110" s="1" t="s">
        <v>130</v>
      </c>
      <c r="C110" s="1" t="s">
        <v>18</v>
      </c>
      <c r="D110" s="3">
        <v>45456</v>
      </c>
      <c r="E110" s="1" t="s">
        <v>19</v>
      </c>
      <c r="F110" s="4">
        <v>5</v>
      </c>
      <c r="G110" s="1" t="s">
        <v>24</v>
      </c>
      <c r="H110" s="1" t="s">
        <v>19</v>
      </c>
      <c r="I110" s="4" t="s">
        <v>21</v>
      </c>
      <c r="J110" s="1" t="s">
        <v>19</v>
      </c>
      <c r="K110" s="4">
        <v>0</v>
      </c>
      <c r="L110" s="4">
        <v>1</v>
      </c>
      <c r="M110" s="4">
        <v>4</v>
      </c>
    </row>
    <row r="111" spans="1:13" ht="16.5" customHeight="1" x14ac:dyDescent="0.25">
      <c r="A111" s="1">
        <v>3340</v>
      </c>
      <c r="B111" s="1" t="s">
        <v>131</v>
      </c>
      <c r="C111" s="1" t="s">
        <v>14</v>
      </c>
      <c r="D111" s="3">
        <v>45457</v>
      </c>
      <c r="E111" s="1" t="s">
        <v>15</v>
      </c>
      <c r="F111" s="4">
        <v>15</v>
      </c>
      <c r="G111" s="1" t="s">
        <v>16</v>
      </c>
      <c r="H111" s="1" t="s">
        <v>15</v>
      </c>
      <c r="I111" s="4">
        <v>30</v>
      </c>
      <c r="J111" s="1" t="s">
        <v>15</v>
      </c>
      <c r="K111" s="4">
        <v>20</v>
      </c>
      <c r="L111" s="4">
        <v>15</v>
      </c>
      <c r="M111" s="4">
        <v>50</v>
      </c>
    </row>
    <row r="112" spans="1:13" ht="16.5" hidden="1" customHeight="1" x14ac:dyDescent="0.25">
      <c r="A112" s="1">
        <v>3341</v>
      </c>
      <c r="B112" s="1" t="s">
        <v>132</v>
      </c>
      <c r="C112" s="1" t="s">
        <v>23</v>
      </c>
      <c r="D112" s="3">
        <v>45458</v>
      </c>
      <c r="E112" s="1" t="s">
        <v>19</v>
      </c>
      <c r="F112" s="4">
        <v>10</v>
      </c>
      <c r="G112" s="1" t="s">
        <v>16</v>
      </c>
      <c r="H112" s="1" t="s">
        <v>19</v>
      </c>
      <c r="I112" s="4" t="s">
        <v>21</v>
      </c>
      <c r="J112" s="1" t="s">
        <v>15</v>
      </c>
      <c r="K112" s="4">
        <v>20</v>
      </c>
      <c r="L112" s="4">
        <v>5</v>
      </c>
      <c r="M112" s="4">
        <v>25</v>
      </c>
    </row>
    <row r="113" spans="1:13" ht="16.5" hidden="1" customHeight="1" x14ac:dyDescent="0.25">
      <c r="A113" s="1">
        <v>3342</v>
      </c>
      <c r="B113" s="1" t="s">
        <v>133</v>
      </c>
      <c r="C113" s="1" t="s">
        <v>18</v>
      </c>
      <c r="D113" s="3">
        <v>45459</v>
      </c>
      <c r="E113" s="1" t="s">
        <v>15</v>
      </c>
      <c r="F113" s="4">
        <v>5</v>
      </c>
      <c r="G113" s="1" t="s">
        <v>20</v>
      </c>
      <c r="H113" s="1" t="s">
        <v>19</v>
      </c>
      <c r="I113" s="4" t="s">
        <v>21</v>
      </c>
      <c r="J113" s="1" t="s">
        <v>19</v>
      </c>
      <c r="K113" s="4">
        <v>0</v>
      </c>
      <c r="L113" s="4">
        <v>0</v>
      </c>
      <c r="M113" s="4">
        <v>5</v>
      </c>
    </row>
    <row r="114" spans="1:13" ht="16.5" customHeight="1" x14ac:dyDescent="0.25">
      <c r="A114" s="1">
        <v>3343</v>
      </c>
      <c r="B114" s="1" t="s">
        <v>134</v>
      </c>
      <c r="C114" s="1" t="s">
        <v>14</v>
      </c>
      <c r="D114" s="3">
        <v>45460</v>
      </c>
      <c r="E114" s="1" t="s">
        <v>19</v>
      </c>
      <c r="F114" s="4">
        <v>15</v>
      </c>
      <c r="G114" s="1" t="s">
        <v>24</v>
      </c>
      <c r="H114" s="1" t="s">
        <v>15</v>
      </c>
      <c r="I114" s="4">
        <v>30</v>
      </c>
      <c r="J114" s="1" t="s">
        <v>15</v>
      </c>
      <c r="K114" s="4">
        <v>20</v>
      </c>
      <c r="L114" s="4">
        <v>20</v>
      </c>
      <c r="M114" s="4">
        <v>45</v>
      </c>
    </row>
    <row r="115" spans="1:13" ht="16.5" hidden="1" customHeight="1" x14ac:dyDescent="0.25">
      <c r="A115" s="1">
        <v>3344</v>
      </c>
      <c r="B115" s="1" t="s">
        <v>135</v>
      </c>
      <c r="C115" s="1" t="s">
        <v>23</v>
      </c>
      <c r="D115" s="3">
        <v>45461</v>
      </c>
      <c r="E115" s="1" t="s">
        <v>15</v>
      </c>
      <c r="F115" s="4">
        <v>10</v>
      </c>
      <c r="G115" s="1" t="s">
        <v>24</v>
      </c>
      <c r="H115" s="1" t="s">
        <v>19</v>
      </c>
      <c r="I115" s="4" t="s">
        <v>21</v>
      </c>
      <c r="J115" s="1" t="s">
        <v>15</v>
      </c>
      <c r="K115" s="4">
        <v>20</v>
      </c>
      <c r="L115" s="4">
        <v>12</v>
      </c>
      <c r="M115" s="4">
        <v>18</v>
      </c>
    </row>
    <row r="116" spans="1:13" ht="16.5" hidden="1" customHeight="1" x14ac:dyDescent="0.25">
      <c r="A116" s="1">
        <v>3345</v>
      </c>
      <c r="B116" s="1" t="s">
        <v>136</v>
      </c>
      <c r="C116" s="1" t="s">
        <v>18</v>
      </c>
      <c r="D116" s="3">
        <v>45462</v>
      </c>
      <c r="E116" s="1" t="s">
        <v>19</v>
      </c>
      <c r="F116" s="4">
        <v>5</v>
      </c>
      <c r="G116" s="1" t="s">
        <v>16</v>
      </c>
      <c r="H116" s="1" t="s">
        <v>19</v>
      </c>
      <c r="I116" s="4" t="s">
        <v>21</v>
      </c>
      <c r="J116" s="1" t="s">
        <v>19</v>
      </c>
      <c r="K116" s="4">
        <v>0</v>
      </c>
      <c r="L116" s="4">
        <v>2</v>
      </c>
      <c r="M116" s="4">
        <v>3</v>
      </c>
    </row>
    <row r="117" spans="1:13" ht="16.5" customHeight="1" x14ac:dyDescent="0.25">
      <c r="A117" s="1">
        <v>3346</v>
      </c>
      <c r="B117" s="1" t="s">
        <v>137</v>
      </c>
      <c r="C117" s="1" t="s">
        <v>14</v>
      </c>
      <c r="D117" s="3">
        <v>45463</v>
      </c>
      <c r="E117" s="1" t="s">
        <v>15</v>
      </c>
      <c r="F117" s="4">
        <v>15</v>
      </c>
      <c r="G117" s="1" t="s">
        <v>20</v>
      </c>
      <c r="H117" s="1" t="s">
        <v>15</v>
      </c>
      <c r="I117" s="4">
        <v>30</v>
      </c>
      <c r="J117" s="1" t="s">
        <v>15</v>
      </c>
      <c r="K117" s="4">
        <v>20</v>
      </c>
      <c r="L117" s="4">
        <v>5</v>
      </c>
      <c r="M117" s="4">
        <v>60</v>
      </c>
    </row>
    <row r="118" spans="1:13" ht="16.5" hidden="1" customHeight="1" x14ac:dyDescent="0.25">
      <c r="A118" s="1">
        <v>3347</v>
      </c>
      <c r="B118" s="1" t="s">
        <v>138</v>
      </c>
      <c r="C118" s="1" t="s">
        <v>23</v>
      </c>
      <c r="D118" s="3">
        <v>45464</v>
      </c>
      <c r="E118" s="1" t="s">
        <v>19</v>
      </c>
      <c r="F118" s="4">
        <v>10</v>
      </c>
      <c r="G118" s="1" t="s">
        <v>16</v>
      </c>
      <c r="H118" s="1" t="s">
        <v>19</v>
      </c>
      <c r="I118" s="4" t="s">
        <v>21</v>
      </c>
      <c r="J118" s="1" t="s">
        <v>15</v>
      </c>
      <c r="K118" s="4">
        <v>20</v>
      </c>
      <c r="L118" s="4">
        <v>10</v>
      </c>
      <c r="M118" s="4">
        <v>20</v>
      </c>
    </row>
    <row r="119" spans="1:13" ht="16.5" hidden="1" customHeight="1" x14ac:dyDescent="0.25">
      <c r="A119" s="1">
        <v>3348</v>
      </c>
      <c r="B119" s="1" t="s">
        <v>139</v>
      </c>
      <c r="C119" s="1" t="s">
        <v>18</v>
      </c>
      <c r="D119" s="3">
        <v>45465</v>
      </c>
      <c r="E119" s="1" t="s">
        <v>15</v>
      </c>
      <c r="F119" s="4">
        <v>5</v>
      </c>
      <c r="G119" s="1" t="s">
        <v>24</v>
      </c>
      <c r="H119" s="1" t="s">
        <v>19</v>
      </c>
      <c r="I119" s="4" t="s">
        <v>21</v>
      </c>
      <c r="J119" s="1" t="s">
        <v>19</v>
      </c>
      <c r="K119" s="4">
        <v>0</v>
      </c>
      <c r="L119" s="4">
        <v>0</v>
      </c>
      <c r="M119" s="4">
        <v>5</v>
      </c>
    </row>
    <row r="120" spans="1:13" ht="16.5" customHeight="1" x14ac:dyDescent="0.25">
      <c r="A120" s="1">
        <v>3349</v>
      </c>
      <c r="B120" s="1" t="s">
        <v>115</v>
      </c>
      <c r="C120" s="1" t="s">
        <v>14</v>
      </c>
      <c r="D120" s="3">
        <v>45466</v>
      </c>
      <c r="E120" s="1" t="s">
        <v>19</v>
      </c>
      <c r="F120" s="4">
        <v>15</v>
      </c>
      <c r="G120" s="1" t="s">
        <v>16</v>
      </c>
      <c r="H120" s="1" t="s">
        <v>15</v>
      </c>
      <c r="I120" s="4">
        <v>30</v>
      </c>
      <c r="J120" s="1" t="s">
        <v>15</v>
      </c>
      <c r="K120" s="4">
        <v>20</v>
      </c>
      <c r="L120" s="4">
        <v>3</v>
      </c>
      <c r="M120" s="4">
        <v>62</v>
      </c>
    </row>
    <row r="121" spans="1:13" ht="16.5" hidden="1" customHeight="1" x14ac:dyDescent="0.25">
      <c r="A121" s="1">
        <v>3350</v>
      </c>
      <c r="B121" s="1" t="s">
        <v>140</v>
      </c>
      <c r="C121" s="1" t="s">
        <v>23</v>
      </c>
      <c r="D121" s="3">
        <v>45467</v>
      </c>
      <c r="E121" s="1" t="s">
        <v>15</v>
      </c>
      <c r="F121" s="4">
        <v>10</v>
      </c>
      <c r="G121" s="1" t="s">
        <v>20</v>
      </c>
      <c r="H121" s="1" t="s">
        <v>19</v>
      </c>
      <c r="I121" s="4" t="s">
        <v>21</v>
      </c>
      <c r="J121" s="1" t="s">
        <v>15</v>
      </c>
      <c r="K121" s="4">
        <v>20</v>
      </c>
      <c r="L121" s="4">
        <v>15</v>
      </c>
      <c r="M121" s="4">
        <v>15</v>
      </c>
    </row>
    <row r="122" spans="1:13" ht="16.5" hidden="1" customHeight="1" x14ac:dyDescent="0.25">
      <c r="A122" s="1">
        <v>3351</v>
      </c>
      <c r="B122" s="1" t="s">
        <v>141</v>
      </c>
      <c r="C122" s="1" t="s">
        <v>18</v>
      </c>
      <c r="D122" s="3">
        <v>45468</v>
      </c>
      <c r="E122" s="1" t="s">
        <v>19</v>
      </c>
      <c r="F122" s="4">
        <v>5</v>
      </c>
      <c r="G122" s="1" t="s">
        <v>16</v>
      </c>
      <c r="H122" s="1" t="s">
        <v>19</v>
      </c>
      <c r="I122" s="4" t="s">
        <v>21</v>
      </c>
      <c r="J122" s="1" t="s">
        <v>19</v>
      </c>
      <c r="K122" s="4">
        <v>0</v>
      </c>
      <c r="L122" s="4">
        <v>1</v>
      </c>
      <c r="M122" s="4">
        <v>4</v>
      </c>
    </row>
    <row r="123" spans="1:13" ht="16.5" customHeight="1" x14ac:dyDescent="0.25">
      <c r="A123" s="1">
        <v>3352</v>
      </c>
      <c r="B123" s="1" t="s">
        <v>142</v>
      </c>
      <c r="C123" s="1" t="s">
        <v>14</v>
      </c>
      <c r="D123" s="3">
        <v>45469</v>
      </c>
      <c r="E123" s="1" t="s">
        <v>15</v>
      </c>
      <c r="F123" s="4">
        <v>15</v>
      </c>
      <c r="G123" s="1" t="s">
        <v>24</v>
      </c>
      <c r="H123" s="1" t="s">
        <v>15</v>
      </c>
      <c r="I123" s="4">
        <v>30</v>
      </c>
      <c r="J123" s="1" t="s">
        <v>15</v>
      </c>
      <c r="K123" s="4">
        <v>20</v>
      </c>
      <c r="L123" s="4">
        <v>7</v>
      </c>
      <c r="M123" s="4">
        <v>58</v>
      </c>
    </row>
    <row r="124" spans="1:13" ht="16.5" hidden="1" customHeight="1" x14ac:dyDescent="0.25">
      <c r="A124" s="1">
        <v>3353</v>
      </c>
      <c r="B124" s="1" t="s">
        <v>143</v>
      </c>
      <c r="C124" s="1" t="s">
        <v>23</v>
      </c>
      <c r="D124" s="3">
        <v>45470</v>
      </c>
      <c r="E124" s="1" t="s">
        <v>19</v>
      </c>
      <c r="F124" s="4">
        <v>10</v>
      </c>
      <c r="G124" s="1" t="s">
        <v>16</v>
      </c>
      <c r="H124" s="1" t="s">
        <v>19</v>
      </c>
      <c r="I124" s="4" t="s">
        <v>21</v>
      </c>
      <c r="J124" s="1" t="s">
        <v>15</v>
      </c>
      <c r="K124" s="4">
        <v>20</v>
      </c>
      <c r="L124" s="4">
        <v>10</v>
      </c>
      <c r="M124" s="4">
        <v>20</v>
      </c>
    </row>
    <row r="125" spans="1:13" ht="16.5" hidden="1" customHeight="1" x14ac:dyDescent="0.25">
      <c r="A125" s="1">
        <v>3354</v>
      </c>
      <c r="B125" s="1" t="s">
        <v>144</v>
      </c>
      <c r="C125" s="1" t="s">
        <v>18</v>
      </c>
      <c r="D125" s="3">
        <v>45471</v>
      </c>
      <c r="E125" s="1" t="s">
        <v>15</v>
      </c>
      <c r="F125" s="4">
        <v>5</v>
      </c>
      <c r="G125" s="1" t="s">
        <v>20</v>
      </c>
      <c r="H125" s="1" t="s">
        <v>19</v>
      </c>
      <c r="I125" s="4" t="s">
        <v>21</v>
      </c>
      <c r="J125" s="1" t="s">
        <v>19</v>
      </c>
      <c r="K125" s="4">
        <v>0</v>
      </c>
      <c r="L125" s="4">
        <v>0</v>
      </c>
      <c r="M125" s="4">
        <v>5</v>
      </c>
    </row>
    <row r="126" spans="1:13" ht="16.5" customHeight="1" x14ac:dyDescent="0.25">
      <c r="A126" s="1">
        <v>3355</v>
      </c>
      <c r="B126" s="1" t="s">
        <v>145</v>
      </c>
      <c r="C126" s="1" t="s">
        <v>14</v>
      </c>
      <c r="D126" s="3">
        <v>45472</v>
      </c>
      <c r="E126" s="1" t="s">
        <v>19</v>
      </c>
      <c r="F126" s="4">
        <v>15</v>
      </c>
      <c r="G126" s="1" t="s">
        <v>16</v>
      </c>
      <c r="H126" s="1" t="s">
        <v>15</v>
      </c>
      <c r="I126" s="4">
        <v>30</v>
      </c>
      <c r="J126" s="1" t="s">
        <v>15</v>
      </c>
      <c r="K126" s="4">
        <v>20</v>
      </c>
      <c r="L126" s="4">
        <v>20</v>
      </c>
      <c r="M126" s="4">
        <v>45</v>
      </c>
    </row>
    <row r="127" spans="1:13" ht="16.5" hidden="1" customHeight="1" x14ac:dyDescent="0.25">
      <c r="A127" s="1">
        <v>3356</v>
      </c>
      <c r="B127" s="1" t="s">
        <v>146</v>
      </c>
      <c r="C127" s="1" t="s">
        <v>23</v>
      </c>
      <c r="D127" s="3">
        <v>45473</v>
      </c>
      <c r="E127" s="1" t="s">
        <v>15</v>
      </c>
      <c r="F127" s="4">
        <v>10</v>
      </c>
      <c r="G127" s="1" t="s">
        <v>24</v>
      </c>
      <c r="H127" s="1" t="s">
        <v>19</v>
      </c>
      <c r="I127" s="4" t="s">
        <v>21</v>
      </c>
      <c r="J127" s="1" t="s">
        <v>15</v>
      </c>
      <c r="K127" s="4">
        <v>20</v>
      </c>
      <c r="L127" s="4">
        <v>15</v>
      </c>
      <c r="M127" s="4">
        <v>15</v>
      </c>
    </row>
    <row r="128" spans="1:13" ht="16.5" hidden="1" customHeight="1" x14ac:dyDescent="0.25">
      <c r="A128" s="1">
        <v>3357</v>
      </c>
      <c r="B128" s="1" t="s">
        <v>147</v>
      </c>
      <c r="C128" s="1" t="s">
        <v>18</v>
      </c>
      <c r="D128" s="3">
        <v>45474</v>
      </c>
      <c r="E128" s="1" t="s">
        <v>19</v>
      </c>
      <c r="F128" s="4">
        <v>5</v>
      </c>
      <c r="G128" s="1" t="s">
        <v>16</v>
      </c>
      <c r="H128" s="1" t="s">
        <v>19</v>
      </c>
      <c r="I128" s="4" t="s">
        <v>21</v>
      </c>
      <c r="J128" s="1" t="s">
        <v>19</v>
      </c>
      <c r="K128" s="4">
        <v>0</v>
      </c>
      <c r="L128" s="4">
        <v>1</v>
      </c>
      <c r="M128" s="4">
        <v>4</v>
      </c>
    </row>
    <row r="129" spans="1:13" ht="16.5" customHeight="1" x14ac:dyDescent="0.25">
      <c r="A129" s="1">
        <v>3358</v>
      </c>
      <c r="B129" s="1" t="s">
        <v>148</v>
      </c>
      <c r="C129" s="1" t="s">
        <v>14</v>
      </c>
      <c r="D129" s="3">
        <v>45475</v>
      </c>
      <c r="E129" s="1" t="s">
        <v>15</v>
      </c>
      <c r="F129" s="4">
        <v>15</v>
      </c>
      <c r="G129" s="1" t="s">
        <v>20</v>
      </c>
      <c r="H129" s="1" t="s">
        <v>15</v>
      </c>
      <c r="I129" s="4">
        <v>30</v>
      </c>
      <c r="J129" s="1" t="s">
        <v>15</v>
      </c>
      <c r="K129" s="4">
        <v>20</v>
      </c>
      <c r="L129" s="4">
        <v>3</v>
      </c>
      <c r="M129" s="4">
        <v>62</v>
      </c>
    </row>
    <row r="130" spans="1:13" ht="16.5" hidden="1" customHeight="1" x14ac:dyDescent="0.25">
      <c r="A130" s="1">
        <v>3359</v>
      </c>
      <c r="B130" s="1" t="s">
        <v>149</v>
      </c>
      <c r="C130" s="1" t="s">
        <v>23</v>
      </c>
      <c r="D130" s="3">
        <v>45476</v>
      </c>
      <c r="E130" s="1" t="s">
        <v>19</v>
      </c>
      <c r="F130" s="4">
        <v>10</v>
      </c>
      <c r="G130" s="1" t="s">
        <v>16</v>
      </c>
      <c r="H130" s="1" t="s">
        <v>19</v>
      </c>
      <c r="I130" s="4" t="s">
        <v>21</v>
      </c>
      <c r="J130" s="1" t="s">
        <v>15</v>
      </c>
      <c r="K130" s="4">
        <v>20</v>
      </c>
      <c r="L130" s="4">
        <v>10</v>
      </c>
      <c r="M130" s="4">
        <v>20</v>
      </c>
    </row>
    <row r="131" spans="1:13" ht="16.5" hidden="1" customHeight="1" x14ac:dyDescent="0.25">
      <c r="A131" s="1">
        <v>3360</v>
      </c>
      <c r="B131" s="1" t="s">
        <v>150</v>
      </c>
      <c r="C131" s="1" t="s">
        <v>18</v>
      </c>
      <c r="D131" s="3">
        <v>45477</v>
      </c>
      <c r="E131" s="1" t="s">
        <v>15</v>
      </c>
      <c r="F131" s="4">
        <v>5</v>
      </c>
      <c r="G131" s="1" t="s">
        <v>24</v>
      </c>
      <c r="H131" s="1" t="s">
        <v>19</v>
      </c>
      <c r="I131" s="4" t="s">
        <v>21</v>
      </c>
      <c r="J131" s="1" t="s">
        <v>19</v>
      </c>
      <c r="K131" s="4">
        <v>0</v>
      </c>
      <c r="L131" s="4">
        <v>0</v>
      </c>
      <c r="M131" s="4">
        <v>5</v>
      </c>
    </row>
    <row r="132" spans="1:13" ht="16.5" customHeight="1" x14ac:dyDescent="0.25">
      <c r="A132" s="1">
        <v>3361</v>
      </c>
      <c r="B132" s="1" t="s">
        <v>151</v>
      </c>
      <c r="C132" s="1" t="s">
        <v>14</v>
      </c>
      <c r="D132" s="3">
        <v>45478</v>
      </c>
      <c r="E132" s="1" t="s">
        <v>19</v>
      </c>
      <c r="F132" s="4">
        <v>15</v>
      </c>
      <c r="G132" s="1" t="s">
        <v>16</v>
      </c>
      <c r="H132" s="1" t="s">
        <v>15</v>
      </c>
      <c r="I132" s="4">
        <v>30</v>
      </c>
      <c r="J132" s="1" t="s">
        <v>15</v>
      </c>
      <c r="K132" s="4">
        <v>20</v>
      </c>
      <c r="L132" s="4">
        <v>15</v>
      </c>
      <c r="M132" s="4">
        <v>50</v>
      </c>
    </row>
    <row r="133" spans="1:13" ht="16.5" hidden="1" customHeight="1" x14ac:dyDescent="0.25">
      <c r="A133" s="1">
        <v>3362</v>
      </c>
      <c r="B133" s="1" t="s">
        <v>152</v>
      </c>
      <c r="C133" s="1" t="s">
        <v>23</v>
      </c>
      <c r="D133" s="3">
        <v>45479</v>
      </c>
      <c r="E133" s="1" t="s">
        <v>15</v>
      </c>
      <c r="F133" s="4">
        <v>10</v>
      </c>
      <c r="G133" s="1" t="s">
        <v>20</v>
      </c>
      <c r="H133" s="1" t="s">
        <v>19</v>
      </c>
      <c r="I133" s="4" t="s">
        <v>21</v>
      </c>
      <c r="J133" s="1" t="s">
        <v>15</v>
      </c>
      <c r="K133" s="4">
        <v>20</v>
      </c>
      <c r="L133" s="4">
        <v>15</v>
      </c>
      <c r="M133" s="4">
        <v>15</v>
      </c>
    </row>
    <row r="134" spans="1:13" ht="16.5" hidden="1" customHeight="1" x14ac:dyDescent="0.25">
      <c r="A134" s="1">
        <v>3363</v>
      </c>
      <c r="B134" s="1" t="s">
        <v>153</v>
      </c>
      <c r="C134" s="1" t="s">
        <v>18</v>
      </c>
      <c r="D134" s="3">
        <v>45480</v>
      </c>
      <c r="E134" s="1" t="s">
        <v>19</v>
      </c>
      <c r="F134" s="4">
        <v>5</v>
      </c>
      <c r="G134" s="1" t="s">
        <v>16</v>
      </c>
      <c r="H134" s="1" t="s">
        <v>19</v>
      </c>
      <c r="I134" s="4" t="s">
        <v>21</v>
      </c>
      <c r="J134" s="1" t="s">
        <v>19</v>
      </c>
      <c r="K134" s="4">
        <v>0</v>
      </c>
      <c r="L134" s="4">
        <v>1</v>
      </c>
      <c r="M134" s="4">
        <v>4</v>
      </c>
    </row>
    <row r="135" spans="1:13" ht="16.5" customHeight="1" x14ac:dyDescent="0.25">
      <c r="A135" s="1">
        <v>3364</v>
      </c>
      <c r="B135" s="1" t="s">
        <v>154</v>
      </c>
      <c r="C135" s="1" t="s">
        <v>14</v>
      </c>
      <c r="D135" s="3">
        <v>45481</v>
      </c>
      <c r="E135" s="1" t="s">
        <v>15</v>
      </c>
      <c r="F135" s="4">
        <v>15</v>
      </c>
      <c r="G135" s="1" t="s">
        <v>24</v>
      </c>
      <c r="H135" s="1" t="s">
        <v>15</v>
      </c>
      <c r="I135" s="4">
        <v>30</v>
      </c>
      <c r="J135" s="1" t="s">
        <v>15</v>
      </c>
      <c r="K135" s="4">
        <v>20</v>
      </c>
      <c r="L135" s="4">
        <v>7</v>
      </c>
      <c r="M135" s="4">
        <v>58</v>
      </c>
    </row>
    <row r="136" spans="1:13" ht="16.5" hidden="1" customHeight="1" x14ac:dyDescent="0.25">
      <c r="A136" s="1">
        <v>3365</v>
      </c>
      <c r="B136" s="1" t="s">
        <v>155</v>
      </c>
      <c r="C136" s="1" t="s">
        <v>23</v>
      </c>
      <c r="D136" s="3">
        <v>45482</v>
      </c>
      <c r="E136" s="1" t="s">
        <v>19</v>
      </c>
      <c r="F136" s="4">
        <v>10</v>
      </c>
      <c r="G136" s="1" t="s">
        <v>16</v>
      </c>
      <c r="H136" s="1" t="s">
        <v>19</v>
      </c>
      <c r="I136" s="4" t="s">
        <v>21</v>
      </c>
      <c r="J136" s="1" t="s">
        <v>15</v>
      </c>
      <c r="K136" s="4">
        <v>20</v>
      </c>
      <c r="L136" s="4">
        <v>10</v>
      </c>
      <c r="M136" s="4">
        <v>20</v>
      </c>
    </row>
    <row r="137" spans="1:13" ht="16.5" hidden="1" customHeight="1" x14ac:dyDescent="0.25">
      <c r="A137" s="1">
        <v>3366</v>
      </c>
      <c r="B137" s="1" t="s">
        <v>156</v>
      </c>
      <c r="C137" s="1" t="s">
        <v>18</v>
      </c>
      <c r="D137" s="3">
        <v>45483</v>
      </c>
      <c r="E137" s="1" t="s">
        <v>15</v>
      </c>
      <c r="F137" s="4">
        <v>5</v>
      </c>
      <c r="G137" s="1" t="s">
        <v>16</v>
      </c>
      <c r="H137" s="1" t="s">
        <v>19</v>
      </c>
      <c r="I137" s="4" t="s">
        <v>21</v>
      </c>
      <c r="J137" s="1" t="s">
        <v>19</v>
      </c>
      <c r="K137" s="4">
        <v>0</v>
      </c>
      <c r="L137" s="4">
        <v>0</v>
      </c>
      <c r="M137" s="4">
        <v>5</v>
      </c>
    </row>
    <row r="138" spans="1:13" ht="16.5" customHeight="1" x14ac:dyDescent="0.25">
      <c r="A138" s="1">
        <v>3367</v>
      </c>
      <c r="B138" s="1" t="s">
        <v>157</v>
      </c>
      <c r="C138" s="1" t="s">
        <v>14</v>
      </c>
      <c r="D138" s="3">
        <v>45484</v>
      </c>
      <c r="E138" s="1" t="s">
        <v>19</v>
      </c>
      <c r="F138" s="4">
        <v>15</v>
      </c>
      <c r="G138" s="1" t="s">
        <v>24</v>
      </c>
      <c r="H138" s="1" t="s">
        <v>15</v>
      </c>
      <c r="I138" s="4">
        <v>30</v>
      </c>
      <c r="J138" s="1" t="s">
        <v>15</v>
      </c>
      <c r="K138" s="4">
        <v>20</v>
      </c>
      <c r="L138" s="4">
        <v>7</v>
      </c>
      <c r="M138" s="4">
        <v>58</v>
      </c>
    </row>
    <row r="139" spans="1:13" ht="16.5" hidden="1" customHeight="1" x14ac:dyDescent="0.25">
      <c r="A139" s="1">
        <v>3368</v>
      </c>
      <c r="B139" s="1" t="s">
        <v>158</v>
      </c>
      <c r="C139" s="1" t="s">
        <v>23</v>
      </c>
      <c r="D139" s="3">
        <v>45485</v>
      </c>
      <c r="E139" s="1" t="s">
        <v>15</v>
      </c>
      <c r="F139" s="4">
        <v>10</v>
      </c>
      <c r="G139" s="1" t="s">
        <v>20</v>
      </c>
      <c r="H139" s="1" t="s">
        <v>19</v>
      </c>
      <c r="I139" s="4" t="s">
        <v>21</v>
      </c>
      <c r="J139" s="1" t="s">
        <v>15</v>
      </c>
      <c r="K139" s="4">
        <v>20</v>
      </c>
      <c r="L139" s="4">
        <v>10</v>
      </c>
      <c r="M139" s="4">
        <v>20</v>
      </c>
    </row>
    <row r="140" spans="1:13" ht="16.5" hidden="1" customHeight="1" x14ac:dyDescent="0.25">
      <c r="A140" s="1">
        <v>3369</v>
      </c>
      <c r="B140" s="1" t="s">
        <v>159</v>
      </c>
      <c r="C140" s="1" t="s">
        <v>18</v>
      </c>
      <c r="D140" s="3">
        <v>45486</v>
      </c>
      <c r="E140" s="1" t="s">
        <v>19</v>
      </c>
      <c r="F140" s="4">
        <v>5</v>
      </c>
      <c r="G140" s="1" t="s">
        <v>24</v>
      </c>
      <c r="H140" s="1" t="s">
        <v>19</v>
      </c>
      <c r="I140" s="4" t="s">
        <v>21</v>
      </c>
      <c r="J140" s="1" t="s">
        <v>19</v>
      </c>
      <c r="K140" s="4">
        <v>0</v>
      </c>
      <c r="L140" s="4">
        <v>1</v>
      </c>
      <c r="M140" s="4">
        <v>4</v>
      </c>
    </row>
    <row r="141" spans="1:13" ht="16.5" customHeight="1" x14ac:dyDescent="0.25">
      <c r="A141" s="1">
        <v>3370</v>
      </c>
      <c r="B141" s="1" t="s">
        <v>160</v>
      </c>
      <c r="C141" s="1" t="s">
        <v>14</v>
      </c>
      <c r="D141" s="3">
        <v>45487</v>
      </c>
      <c r="E141" s="1" t="s">
        <v>15</v>
      </c>
      <c r="F141" s="4">
        <v>15</v>
      </c>
      <c r="G141" s="1" t="s">
        <v>16</v>
      </c>
      <c r="H141" s="1" t="s">
        <v>15</v>
      </c>
      <c r="I141" s="4">
        <v>30</v>
      </c>
      <c r="J141" s="1" t="s">
        <v>15</v>
      </c>
      <c r="K141" s="4">
        <v>20</v>
      </c>
      <c r="L141" s="4">
        <v>15</v>
      </c>
      <c r="M141" s="4">
        <v>50</v>
      </c>
    </row>
    <row r="142" spans="1:13" ht="16.5" hidden="1" customHeight="1" x14ac:dyDescent="0.25">
      <c r="A142" s="1">
        <v>3371</v>
      </c>
      <c r="B142" s="1" t="s">
        <v>161</v>
      </c>
      <c r="C142" s="1" t="s">
        <v>23</v>
      </c>
      <c r="D142" s="3">
        <v>45488</v>
      </c>
      <c r="E142" s="1" t="s">
        <v>19</v>
      </c>
      <c r="F142" s="4">
        <v>10</v>
      </c>
      <c r="G142" s="1" t="s">
        <v>16</v>
      </c>
      <c r="H142" s="1" t="s">
        <v>19</v>
      </c>
      <c r="I142" s="4" t="s">
        <v>21</v>
      </c>
      <c r="J142" s="1" t="s">
        <v>15</v>
      </c>
      <c r="K142" s="4">
        <v>20</v>
      </c>
      <c r="L142" s="4">
        <v>5</v>
      </c>
      <c r="M142" s="4">
        <v>25</v>
      </c>
    </row>
    <row r="143" spans="1:13" ht="16.5" hidden="1" customHeight="1" x14ac:dyDescent="0.25">
      <c r="A143" s="1">
        <v>3372</v>
      </c>
      <c r="B143" s="1" t="s">
        <v>162</v>
      </c>
      <c r="C143" s="1" t="s">
        <v>18</v>
      </c>
      <c r="D143" s="3">
        <v>45489</v>
      </c>
      <c r="E143" s="1" t="s">
        <v>15</v>
      </c>
      <c r="F143" s="4">
        <v>5</v>
      </c>
      <c r="G143" s="1" t="s">
        <v>20</v>
      </c>
      <c r="H143" s="1" t="s">
        <v>19</v>
      </c>
      <c r="I143" s="4" t="s">
        <v>21</v>
      </c>
      <c r="J143" s="1" t="s">
        <v>19</v>
      </c>
      <c r="K143" s="4">
        <v>0</v>
      </c>
      <c r="L143" s="4">
        <v>0</v>
      </c>
      <c r="M143" s="4">
        <v>5</v>
      </c>
    </row>
    <row r="144" spans="1:13" ht="16.5" customHeight="1" x14ac:dyDescent="0.25">
      <c r="A144" s="1">
        <v>3373</v>
      </c>
      <c r="B144" s="1" t="s">
        <v>163</v>
      </c>
      <c r="C144" s="1" t="s">
        <v>14</v>
      </c>
      <c r="D144" s="3">
        <v>45490</v>
      </c>
      <c r="E144" s="1" t="s">
        <v>19</v>
      </c>
      <c r="F144" s="4">
        <v>15</v>
      </c>
      <c r="G144" s="1" t="s">
        <v>24</v>
      </c>
      <c r="H144" s="1" t="s">
        <v>15</v>
      </c>
      <c r="I144" s="4">
        <v>30</v>
      </c>
      <c r="J144" s="1" t="s">
        <v>15</v>
      </c>
      <c r="K144" s="4">
        <v>20</v>
      </c>
      <c r="L144" s="4">
        <v>20</v>
      </c>
      <c r="M144" s="4">
        <v>45</v>
      </c>
    </row>
    <row r="145" spans="1:13" ht="16.5" hidden="1" customHeight="1" x14ac:dyDescent="0.25">
      <c r="A145" s="1">
        <v>3374</v>
      </c>
      <c r="B145" s="1" t="s">
        <v>164</v>
      </c>
      <c r="C145" s="1" t="s">
        <v>23</v>
      </c>
      <c r="D145" s="3">
        <v>45491</v>
      </c>
      <c r="E145" s="1" t="s">
        <v>15</v>
      </c>
      <c r="F145" s="4">
        <v>10</v>
      </c>
      <c r="G145" s="1" t="s">
        <v>24</v>
      </c>
      <c r="H145" s="1" t="s">
        <v>19</v>
      </c>
      <c r="I145" s="4" t="s">
        <v>21</v>
      </c>
      <c r="J145" s="1" t="s">
        <v>15</v>
      </c>
      <c r="K145" s="4">
        <v>20</v>
      </c>
      <c r="L145" s="4">
        <v>12</v>
      </c>
      <c r="M145" s="4">
        <v>18</v>
      </c>
    </row>
    <row r="146" spans="1:13" ht="16.5" hidden="1" customHeight="1" x14ac:dyDescent="0.25">
      <c r="A146" s="1">
        <v>3375</v>
      </c>
      <c r="B146" s="1" t="s">
        <v>165</v>
      </c>
      <c r="C146" s="1" t="s">
        <v>18</v>
      </c>
      <c r="D146" s="3">
        <v>45492</v>
      </c>
      <c r="E146" s="1" t="s">
        <v>19</v>
      </c>
      <c r="F146" s="4">
        <v>5</v>
      </c>
      <c r="G146" s="1" t="s">
        <v>16</v>
      </c>
      <c r="H146" s="1" t="s">
        <v>19</v>
      </c>
      <c r="I146" s="4" t="s">
        <v>21</v>
      </c>
      <c r="J146" s="1" t="s">
        <v>19</v>
      </c>
      <c r="K146" s="4">
        <v>0</v>
      </c>
      <c r="L146" s="4">
        <v>2</v>
      </c>
      <c r="M146" s="4">
        <v>3</v>
      </c>
    </row>
    <row r="147" spans="1:13" ht="16.5" customHeight="1" x14ac:dyDescent="0.25">
      <c r="A147" s="1">
        <v>3376</v>
      </c>
      <c r="B147" s="1" t="s">
        <v>166</v>
      </c>
      <c r="C147" s="1" t="s">
        <v>14</v>
      </c>
      <c r="D147" s="3">
        <v>45493</v>
      </c>
      <c r="E147" s="1" t="s">
        <v>15</v>
      </c>
      <c r="F147" s="4">
        <v>15</v>
      </c>
      <c r="G147" s="1" t="s">
        <v>20</v>
      </c>
      <c r="H147" s="1" t="s">
        <v>15</v>
      </c>
      <c r="I147" s="4">
        <v>30</v>
      </c>
      <c r="J147" s="1" t="s">
        <v>15</v>
      </c>
      <c r="K147" s="4">
        <v>20</v>
      </c>
      <c r="L147" s="4">
        <v>5</v>
      </c>
      <c r="M147" s="4">
        <v>60</v>
      </c>
    </row>
    <row r="148" spans="1:13" ht="16.5" hidden="1" customHeight="1" x14ac:dyDescent="0.25">
      <c r="A148" s="1">
        <v>3377</v>
      </c>
      <c r="B148" s="1" t="s">
        <v>167</v>
      </c>
      <c r="C148" s="1" t="s">
        <v>23</v>
      </c>
      <c r="D148" s="3">
        <v>45494</v>
      </c>
      <c r="E148" s="1" t="s">
        <v>19</v>
      </c>
      <c r="F148" s="4">
        <v>10</v>
      </c>
      <c r="G148" s="1" t="s">
        <v>16</v>
      </c>
      <c r="H148" s="1" t="s">
        <v>19</v>
      </c>
      <c r="I148" s="4" t="s">
        <v>21</v>
      </c>
      <c r="J148" s="1" t="s">
        <v>15</v>
      </c>
      <c r="K148" s="4">
        <v>20</v>
      </c>
      <c r="L148" s="4">
        <v>10</v>
      </c>
      <c r="M148" s="4">
        <v>20</v>
      </c>
    </row>
    <row r="149" spans="1:13" ht="16.5" hidden="1" customHeight="1" x14ac:dyDescent="0.25">
      <c r="A149" s="1">
        <v>3378</v>
      </c>
      <c r="B149" s="1" t="s">
        <v>168</v>
      </c>
      <c r="C149" s="1" t="s">
        <v>18</v>
      </c>
      <c r="D149" s="3">
        <v>45495</v>
      </c>
      <c r="E149" s="1" t="s">
        <v>15</v>
      </c>
      <c r="F149" s="4">
        <v>5</v>
      </c>
      <c r="G149" s="1" t="s">
        <v>24</v>
      </c>
      <c r="H149" s="1" t="s">
        <v>19</v>
      </c>
      <c r="I149" s="4" t="s">
        <v>21</v>
      </c>
      <c r="J149" s="1" t="s">
        <v>19</v>
      </c>
      <c r="K149" s="4">
        <v>0</v>
      </c>
      <c r="L149" s="4">
        <v>0</v>
      </c>
      <c r="M149" s="4">
        <v>5</v>
      </c>
    </row>
    <row r="150" spans="1:13" ht="16.5" customHeight="1" x14ac:dyDescent="0.25">
      <c r="A150" s="1">
        <v>3379</v>
      </c>
      <c r="B150" s="1" t="s">
        <v>169</v>
      </c>
      <c r="C150" s="1" t="s">
        <v>14</v>
      </c>
      <c r="D150" s="3">
        <v>45496</v>
      </c>
      <c r="E150" s="1" t="s">
        <v>19</v>
      </c>
      <c r="F150" s="4">
        <v>15</v>
      </c>
      <c r="G150" s="1" t="s">
        <v>16</v>
      </c>
      <c r="H150" s="1" t="s">
        <v>15</v>
      </c>
      <c r="I150" s="4">
        <v>30</v>
      </c>
      <c r="J150" s="1" t="s">
        <v>15</v>
      </c>
      <c r="K150" s="4">
        <v>20</v>
      </c>
      <c r="L150" s="4">
        <v>3</v>
      </c>
      <c r="M150" s="4">
        <v>62</v>
      </c>
    </row>
    <row r="151" spans="1:13" ht="16.5" hidden="1" customHeight="1" x14ac:dyDescent="0.25">
      <c r="A151" s="1">
        <v>3380</v>
      </c>
      <c r="B151" s="1" t="s">
        <v>170</v>
      </c>
      <c r="C151" s="1" t="s">
        <v>23</v>
      </c>
      <c r="D151" s="3">
        <v>45497</v>
      </c>
      <c r="E151" s="1" t="s">
        <v>15</v>
      </c>
      <c r="F151" s="4">
        <v>10</v>
      </c>
      <c r="G151" s="1" t="s">
        <v>20</v>
      </c>
      <c r="H151" s="1" t="s">
        <v>19</v>
      </c>
      <c r="I151" s="4" t="s">
        <v>21</v>
      </c>
      <c r="J151" s="1" t="s">
        <v>15</v>
      </c>
      <c r="K151" s="4">
        <v>20</v>
      </c>
      <c r="L151" s="4">
        <v>15</v>
      </c>
      <c r="M151" s="4">
        <v>15</v>
      </c>
    </row>
    <row r="152" spans="1:13" ht="16.5" hidden="1" customHeight="1" x14ac:dyDescent="0.25">
      <c r="A152" s="1">
        <v>3381</v>
      </c>
      <c r="B152" s="1" t="s">
        <v>171</v>
      </c>
      <c r="C152" s="1" t="s">
        <v>18</v>
      </c>
      <c r="D152" s="3">
        <v>45498</v>
      </c>
      <c r="E152" s="1" t="s">
        <v>19</v>
      </c>
      <c r="F152" s="4">
        <v>5</v>
      </c>
      <c r="G152" s="1" t="s">
        <v>16</v>
      </c>
      <c r="H152" s="1" t="s">
        <v>19</v>
      </c>
      <c r="I152" s="4" t="s">
        <v>21</v>
      </c>
      <c r="J152" s="1" t="s">
        <v>19</v>
      </c>
      <c r="K152" s="4">
        <v>0</v>
      </c>
      <c r="L152" s="4">
        <v>1</v>
      </c>
      <c r="M152" s="4">
        <v>4</v>
      </c>
    </row>
    <row r="153" spans="1:13" ht="16.5" customHeight="1" x14ac:dyDescent="0.25">
      <c r="A153" s="1">
        <v>3382</v>
      </c>
      <c r="B153" s="1" t="s">
        <v>172</v>
      </c>
      <c r="C153" s="1" t="s">
        <v>14</v>
      </c>
      <c r="D153" s="3">
        <v>45499</v>
      </c>
      <c r="E153" s="1" t="s">
        <v>15</v>
      </c>
      <c r="F153" s="4">
        <v>15</v>
      </c>
      <c r="G153" s="1" t="s">
        <v>24</v>
      </c>
      <c r="H153" s="1" t="s">
        <v>15</v>
      </c>
      <c r="I153" s="4">
        <v>30</v>
      </c>
      <c r="J153" s="1" t="s">
        <v>15</v>
      </c>
      <c r="K153" s="4">
        <v>20</v>
      </c>
      <c r="L153" s="4">
        <v>7</v>
      </c>
      <c r="M153" s="4">
        <v>58</v>
      </c>
    </row>
    <row r="154" spans="1:13" ht="16.5" hidden="1" customHeight="1" x14ac:dyDescent="0.25">
      <c r="A154" s="1">
        <v>3383</v>
      </c>
      <c r="B154" s="1" t="s">
        <v>173</v>
      </c>
      <c r="C154" s="1" t="s">
        <v>23</v>
      </c>
      <c r="D154" s="3">
        <v>45500</v>
      </c>
      <c r="E154" s="1" t="s">
        <v>19</v>
      </c>
      <c r="F154" s="4">
        <v>10</v>
      </c>
      <c r="G154" s="1" t="s">
        <v>16</v>
      </c>
      <c r="H154" s="1" t="s">
        <v>19</v>
      </c>
      <c r="I154" s="4" t="s">
        <v>21</v>
      </c>
      <c r="J154" s="1" t="s">
        <v>15</v>
      </c>
      <c r="K154" s="4">
        <v>20</v>
      </c>
      <c r="L154" s="4">
        <v>10</v>
      </c>
      <c r="M154" s="4">
        <v>20</v>
      </c>
    </row>
    <row r="155" spans="1:13" ht="16.5" hidden="1" customHeight="1" x14ac:dyDescent="0.25">
      <c r="A155" s="1">
        <v>3384</v>
      </c>
      <c r="B155" s="1" t="s">
        <v>174</v>
      </c>
      <c r="C155" s="1" t="s">
        <v>18</v>
      </c>
      <c r="D155" s="3">
        <v>45501</v>
      </c>
      <c r="E155" s="1" t="s">
        <v>15</v>
      </c>
      <c r="F155" s="4">
        <v>5</v>
      </c>
      <c r="G155" s="1" t="s">
        <v>20</v>
      </c>
      <c r="H155" s="1" t="s">
        <v>19</v>
      </c>
      <c r="I155" s="4" t="s">
        <v>21</v>
      </c>
      <c r="J155" s="1" t="s">
        <v>19</v>
      </c>
      <c r="K155" s="4">
        <v>0</v>
      </c>
      <c r="L155" s="4">
        <v>0</v>
      </c>
      <c r="M155" s="4">
        <v>5</v>
      </c>
    </row>
    <row r="156" spans="1:13" ht="16.5" customHeight="1" x14ac:dyDescent="0.25">
      <c r="A156" s="1">
        <v>3385</v>
      </c>
      <c r="B156" s="1" t="s">
        <v>175</v>
      </c>
      <c r="C156" s="1" t="s">
        <v>14</v>
      </c>
      <c r="D156" s="3">
        <v>45502</v>
      </c>
      <c r="E156" s="1" t="s">
        <v>19</v>
      </c>
      <c r="F156" s="4">
        <v>15</v>
      </c>
      <c r="G156" s="1" t="s">
        <v>16</v>
      </c>
      <c r="H156" s="1" t="s">
        <v>15</v>
      </c>
      <c r="I156" s="4">
        <v>30</v>
      </c>
      <c r="J156" s="1" t="s">
        <v>15</v>
      </c>
      <c r="K156" s="4">
        <v>20</v>
      </c>
      <c r="L156" s="4">
        <v>20</v>
      </c>
      <c r="M156" s="4">
        <v>45</v>
      </c>
    </row>
    <row r="157" spans="1:13" ht="16.5" hidden="1" customHeight="1" x14ac:dyDescent="0.25">
      <c r="A157" s="1">
        <v>3386</v>
      </c>
      <c r="B157" s="1" t="s">
        <v>176</v>
      </c>
      <c r="C157" s="1" t="s">
        <v>23</v>
      </c>
      <c r="D157" s="3">
        <v>45503</v>
      </c>
      <c r="E157" s="1" t="s">
        <v>15</v>
      </c>
      <c r="F157" s="4">
        <v>10</v>
      </c>
      <c r="G157" s="1" t="s">
        <v>24</v>
      </c>
      <c r="H157" s="1" t="s">
        <v>19</v>
      </c>
      <c r="I157" s="4" t="s">
        <v>21</v>
      </c>
      <c r="J157" s="1" t="s">
        <v>15</v>
      </c>
      <c r="K157" s="4">
        <v>20</v>
      </c>
      <c r="L157" s="4">
        <v>15</v>
      </c>
      <c r="M157" s="4">
        <v>15</v>
      </c>
    </row>
    <row r="158" spans="1:13" ht="16.5" hidden="1" customHeight="1" x14ac:dyDescent="0.25">
      <c r="A158" s="1">
        <v>3387</v>
      </c>
      <c r="B158" s="1" t="s">
        <v>177</v>
      </c>
      <c r="C158" s="1" t="s">
        <v>18</v>
      </c>
      <c r="D158" s="3">
        <v>45504</v>
      </c>
      <c r="E158" s="1" t="s">
        <v>19</v>
      </c>
      <c r="F158" s="4">
        <v>5</v>
      </c>
      <c r="G158" s="1" t="s">
        <v>16</v>
      </c>
      <c r="H158" s="1" t="s">
        <v>19</v>
      </c>
      <c r="I158" s="4" t="s">
        <v>21</v>
      </c>
      <c r="J158" s="1" t="s">
        <v>19</v>
      </c>
      <c r="K158" s="4">
        <v>0</v>
      </c>
      <c r="L158" s="4">
        <v>1</v>
      </c>
      <c r="M158" s="4">
        <v>4</v>
      </c>
    </row>
    <row r="159" spans="1:13" ht="16.5" customHeight="1" x14ac:dyDescent="0.25">
      <c r="A159" s="1">
        <v>3388</v>
      </c>
      <c r="B159" s="1" t="s">
        <v>178</v>
      </c>
      <c r="C159" s="1" t="s">
        <v>14</v>
      </c>
      <c r="D159" s="3">
        <v>45505</v>
      </c>
      <c r="E159" s="1" t="s">
        <v>15</v>
      </c>
      <c r="F159" s="4">
        <v>15</v>
      </c>
      <c r="G159" s="1" t="s">
        <v>20</v>
      </c>
      <c r="H159" s="1" t="s">
        <v>15</v>
      </c>
      <c r="I159" s="4">
        <v>30</v>
      </c>
      <c r="J159" s="1" t="s">
        <v>15</v>
      </c>
      <c r="K159" s="4">
        <v>20</v>
      </c>
      <c r="L159" s="4">
        <v>3</v>
      </c>
      <c r="M159" s="4">
        <v>62</v>
      </c>
    </row>
    <row r="160" spans="1:13" ht="16.5" hidden="1" customHeight="1" x14ac:dyDescent="0.25">
      <c r="A160" s="1">
        <v>3389</v>
      </c>
      <c r="B160" s="1" t="s">
        <v>179</v>
      </c>
      <c r="C160" s="1" t="s">
        <v>23</v>
      </c>
      <c r="D160" s="3">
        <v>45506</v>
      </c>
      <c r="E160" s="1" t="s">
        <v>19</v>
      </c>
      <c r="F160" s="4">
        <v>10</v>
      </c>
      <c r="G160" s="1" t="s">
        <v>16</v>
      </c>
      <c r="H160" s="1" t="s">
        <v>19</v>
      </c>
      <c r="I160" s="4" t="s">
        <v>21</v>
      </c>
      <c r="J160" s="1" t="s">
        <v>15</v>
      </c>
      <c r="K160" s="4">
        <v>20</v>
      </c>
      <c r="L160" s="4">
        <v>10</v>
      </c>
      <c r="M160" s="4">
        <v>20</v>
      </c>
    </row>
    <row r="161" spans="1:13" ht="16.5" hidden="1" customHeight="1" x14ac:dyDescent="0.25">
      <c r="A161" s="1">
        <v>3390</v>
      </c>
      <c r="B161" s="1" t="s">
        <v>180</v>
      </c>
      <c r="C161" s="1" t="s">
        <v>18</v>
      </c>
      <c r="D161" s="3">
        <v>45507</v>
      </c>
      <c r="E161" s="1" t="s">
        <v>15</v>
      </c>
      <c r="F161" s="4">
        <v>5</v>
      </c>
      <c r="G161" s="1" t="s">
        <v>24</v>
      </c>
      <c r="H161" s="1" t="s">
        <v>19</v>
      </c>
      <c r="I161" s="4" t="s">
        <v>21</v>
      </c>
      <c r="J161" s="1" t="s">
        <v>19</v>
      </c>
      <c r="K161" s="4">
        <v>0</v>
      </c>
      <c r="L161" s="4">
        <v>0</v>
      </c>
      <c r="M161" s="4">
        <v>5</v>
      </c>
    </row>
    <row r="162" spans="1:13" ht="16.5" customHeight="1" x14ac:dyDescent="0.25">
      <c r="A162" s="1">
        <v>3391</v>
      </c>
      <c r="B162" s="1" t="s">
        <v>80</v>
      </c>
      <c r="C162" s="1" t="s">
        <v>14</v>
      </c>
      <c r="D162" s="3">
        <v>45508</v>
      </c>
      <c r="E162" s="1" t="s">
        <v>19</v>
      </c>
      <c r="F162" s="4">
        <v>15</v>
      </c>
      <c r="G162" s="1" t="s">
        <v>16</v>
      </c>
      <c r="H162" s="1" t="s">
        <v>15</v>
      </c>
      <c r="I162" s="4">
        <v>30</v>
      </c>
      <c r="J162" s="1" t="s">
        <v>15</v>
      </c>
      <c r="K162" s="4">
        <v>20</v>
      </c>
      <c r="L162" s="4">
        <v>15</v>
      </c>
      <c r="M162" s="4">
        <v>50</v>
      </c>
    </row>
    <row r="163" spans="1:13" ht="16.5" hidden="1" customHeight="1" x14ac:dyDescent="0.25">
      <c r="A163" s="1">
        <v>3392</v>
      </c>
      <c r="B163" s="1" t="s">
        <v>181</v>
      </c>
      <c r="C163" s="1" t="s">
        <v>23</v>
      </c>
      <c r="D163" s="3">
        <v>45509</v>
      </c>
      <c r="E163" s="1" t="s">
        <v>15</v>
      </c>
      <c r="F163" s="4">
        <v>10</v>
      </c>
      <c r="G163" s="1" t="s">
        <v>20</v>
      </c>
      <c r="H163" s="1" t="s">
        <v>19</v>
      </c>
      <c r="I163" s="4" t="s">
        <v>21</v>
      </c>
      <c r="J163" s="1" t="s">
        <v>15</v>
      </c>
      <c r="K163" s="4">
        <v>20</v>
      </c>
      <c r="L163" s="4">
        <v>15</v>
      </c>
      <c r="M163" s="4">
        <v>15</v>
      </c>
    </row>
    <row r="164" spans="1:13" ht="16.5" hidden="1" customHeight="1" x14ac:dyDescent="0.25">
      <c r="A164" s="1">
        <v>3393</v>
      </c>
      <c r="B164" s="1" t="s">
        <v>182</v>
      </c>
      <c r="C164" s="1" t="s">
        <v>18</v>
      </c>
      <c r="D164" s="3">
        <v>45510</v>
      </c>
      <c r="E164" s="1" t="s">
        <v>19</v>
      </c>
      <c r="F164" s="4">
        <v>5</v>
      </c>
      <c r="G164" s="1" t="s">
        <v>16</v>
      </c>
      <c r="H164" s="1" t="s">
        <v>19</v>
      </c>
      <c r="I164" s="4" t="s">
        <v>21</v>
      </c>
      <c r="J164" s="1" t="s">
        <v>19</v>
      </c>
      <c r="K164" s="4">
        <v>0</v>
      </c>
      <c r="L164" s="4">
        <v>1</v>
      </c>
      <c r="M164" s="4">
        <v>4</v>
      </c>
    </row>
    <row r="165" spans="1:13" ht="16.5" customHeight="1" x14ac:dyDescent="0.25">
      <c r="A165" s="1">
        <v>3394</v>
      </c>
      <c r="B165" s="1" t="s">
        <v>183</v>
      </c>
      <c r="C165" s="1" t="s">
        <v>14</v>
      </c>
      <c r="D165" s="3">
        <v>45511</v>
      </c>
      <c r="E165" s="1" t="s">
        <v>15</v>
      </c>
      <c r="F165" s="4">
        <v>15</v>
      </c>
      <c r="G165" s="1" t="s">
        <v>24</v>
      </c>
      <c r="H165" s="1" t="s">
        <v>15</v>
      </c>
      <c r="I165" s="4">
        <v>30</v>
      </c>
      <c r="J165" s="1" t="s">
        <v>15</v>
      </c>
      <c r="K165" s="4">
        <v>20</v>
      </c>
      <c r="L165" s="4">
        <v>7</v>
      </c>
      <c r="M165" s="4">
        <v>58</v>
      </c>
    </row>
    <row r="166" spans="1:13" ht="16.5" hidden="1" customHeight="1" x14ac:dyDescent="0.25">
      <c r="A166" s="1">
        <v>3395</v>
      </c>
      <c r="B166" s="1" t="s">
        <v>184</v>
      </c>
      <c r="C166" s="1" t="s">
        <v>23</v>
      </c>
      <c r="D166" s="3">
        <v>45512</v>
      </c>
      <c r="E166" s="1" t="s">
        <v>19</v>
      </c>
      <c r="F166" s="4">
        <v>10</v>
      </c>
      <c r="G166" s="1" t="s">
        <v>16</v>
      </c>
      <c r="H166" s="1" t="s">
        <v>19</v>
      </c>
      <c r="I166" s="4" t="s">
        <v>21</v>
      </c>
      <c r="J166" s="1" t="s">
        <v>15</v>
      </c>
      <c r="K166" s="4">
        <v>20</v>
      </c>
      <c r="L166" s="4">
        <v>10</v>
      </c>
      <c r="M166" s="4">
        <v>20</v>
      </c>
    </row>
    <row r="167" spans="1:13" ht="16.5" hidden="1" customHeight="1" x14ac:dyDescent="0.25">
      <c r="A167" s="1">
        <v>3396</v>
      </c>
      <c r="B167" s="1" t="s">
        <v>185</v>
      </c>
      <c r="C167" s="1" t="s">
        <v>18</v>
      </c>
      <c r="D167" s="3">
        <v>45513</v>
      </c>
      <c r="E167" s="1" t="s">
        <v>15</v>
      </c>
      <c r="F167" s="4">
        <v>5</v>
      </c>
      <c r="G167" s="1" t="s">
        <v>20</v>
      </c>
      <c r="H167" s="1" t="s">
        <v>19</v>
      </c>
      <c r="I167" s="4" t="s">
        <v>21</v>
      </c>
      <c r="J167" s="1" t="s">
        <v>19</v>
      </c>
      <c r="K167" s="4">
        <v>0</v>
      </c>
      <c r="L167" s="4">
        <v>0</v>
      </c>
      <c r="M167" s="4">
        <v>5</v>
      </c>
    </row>
    <row r="168" spans="1:13" ht="16.5" customHeight="1" x14ac:dyDescent="0.25">
      <c r="A168" s="1">
        <v>3397</v>
      </c>
      <c r="B168" s="1" t="s">
        <v>112</v>
      </c>
      <c r="C168" s="1" t="s">
        <v>14</v>
      </c>
      <c r="D168" s="3">
        <v>45514</v>
      </c>
      <c r="E168" s="1" t="s">
        <v>19</v>
      </c>
      <c r="F168" s="4">
        <v>15</v>
      </c>
      <c r="G168" s="1" t="s">
        <v>16</v>
      </c>
      <c r="H168" s="1" t="s">
        <v>15</v>
      </c>
      <c r="I168" s="4">
        <v>30</v>
      </c>
      <c r="J168" s="1" t="s">
        <v>15</v>
      </c>
      <c r="K168" s="4">
        <v>20</v>
      </c>
      <c r="L168" s="4">
        <v>20</v>
      </c>
      <c r="M168" s="4">
        <v>45</v>
      </c>
    </row>
    <row r="169" spans="1:13" ht="16.5" hidden="1" customHeight="1" x14ac:dyDescent="0.25">
      <c r="A169" s="1">
        <v>3398</v>
      </c>
      <c r="B169" s="1" t="s">
        <v>186</v>
      </c>
      <c r="C169" s="1" t="s">
        <v>23</v>
      </c>
      <c r="D169" s="3">
        <v>45515</v>
      </c>
      <c r="E169" s="1" t="s">
        <v>15</v>
      </c>
      <c r="F169" s="4">
        <v>10</v>
      </c>
      <c r="G169" s="1" t="s">
        <v>24</v>
      </c>
      <c r="H169" s="1" t="s">
        <v>19</v>
      </c>
      <c r="I169" s="4" t="s">
        <v>21</v>
      </c>
      <c r="J169" s="1" t="s">
        <v>15</v>
      </c>
      <c r="K169" s="4">
        <v>20</v>
      </c>
      <c r="L169" s="4">
        <v>15</v>
      </c>
      <c r="M169" s="4">
        <v>15</v>
      </c>
    </row>
    <row r="170" spans="1:13" ht="16.5" hidden="1" customHeight="1" x14ac:dyDescent="0.25">
      <c r="A170" s="1">
        <v>3399</v>
      </c>
      <c r="B170" s="1" t="s">
        <v>187</v>
      </c>
      <c r="C170" s="1" t="s">
        <v>18</v>
      </c>
      <c r="D170" s="3">
        <v>45516</v>
      </c>
      <c r="E170" s="1" t="s">
        <v>19</v>
      </c>
      <c r="F170" s="4">
        <v>5</v>
      </c>
      <c r="G170" s="1" t="s">
        <v>16</v>
      </c>
      <c r="H170" s="1" t="s">
        <v>19</v>
      </c>
      <c r="I170" s="4" t="s">
        <v>21</v>
      </c>
      <c r="J170" s="1" t="s">
        <v>19</v>
      </c>
      <c r="K170" s="4">
        <v>0</v>
      </c>
      <c r="L170" s="4">
        <v>1</v>
      </c>
      <c r="M170" s="4">
        <v>4</v>
      </c>
    </row>
    <row r="171" spans="1:13" ht="16.5" customHeight="1" x14ac:dyDescent="0.25">
      <c r="A171" s="1">
        <v>3400</v>
      </c>
      <c r="B171" s="1" t="s">
        <v>188</v>
      </c>
      <c r="C171" s="1" t="s">
        <v>14</v>
      </c>
      <c r="D171" s="3">
        <v>45517</v>
      </c>
      <c r="E171" s="1" t="s">
        <v>15</v>
      </c>
      <c r="F171" s="4">
        <v>15</v>
      </c>
      <c r="G171" s="1" t="s">
        <v>20</v>
      </c>
      <c r="H171" s="1" t="s">
        <v>15</v>
      </c>
      <c r="I171" s="4">
        <v>30</v>
      </c>
      <c r="J171" s="1" t="s">
        <v>15</v>
      </c>
      <c r="K171" s="4">
        <v>20</v>
      </c>
      <c r="L171" s="4">
        <v>5</v>
      </c>
      <c r="M171" s="4">
        <v>60</v>
      </c>
    </row>
    <row r="172" spans="1:13" ht="16.5" hidden="1" customHeight="1" x14ac:dyDescent="0.25">
      <c r="A172" s="1">
        <v>3401</v>
      </c>
      <c r="B172" s="1" t="s">
        <v>189</v>
      </c>
      <c r="C172" s="1" t="s">
        <v>23</v>
      </c>
      <c r="D172" s="3">
        <v>45518</v>
      </c>
      <c r="E172" s="1" t="s">
        <v>19</v>
      </c>
      <c r="F172" s="4">
        <v>10</v>
      </c>
      <c r="G172" s="1" t="s">
        <v>16</v>
      </c>
      <c r="H172" s="1" t="s">
        <v>19</v>
      </c>
      <c r="I172" s="4" t="s">
        <v>21</v>
      </c>
      <c r="J172" s="1" t="s">
        <v>15</v>
      </c>
      <c r="K172" s="4">
        <v>20</v>
      </c>
      <c r="L172" s="4">
        <v>10</v>
      </c>
      <c r="M172" s="4">
        <v>20</v>
      </c>
    </row>
    <row r="173" spans="1:13" ht="16.5" hidden="1" customHeight="1" x14ac:dyDescent="0.25">
      <c r="A173" s="1">
        <v>3402</v>
      </c>
      <c r="B173" s="1" t="s">
        <v>190</v>
      </c>
      <c r="C173" s="1" t="s">
        <v>18</v>
      </c>
      <c r="D173" s="3">
        <v>45519</v>
      </c>
      <c r="E173" s="1" t="s">
        <v>15</v>
      </c>
      <c r="F173" s="4">
        <v>5</v>
      </c>
      <c r="G173" s="1" t="s">
        <v>24</v>
      </c>
      <c r="H173" s="1" t="s">
        <v>19</v>
      </c>
      <c r="I173" s="4" t="s">
        <v>21</v>
      </c>
      <c r="J173" s="1" t="s">
        <v>19</v>
      </c>
      <c r="K173" s="4">
        <v>0</v>
      </c>
      <c r="L173" s="4">
        <v>0</v>
      </c>
      <c r="M173" s="4">
        <v>5</v>
      </c>
    </row>
    <row r="174" spans="1:13" ht="16.5" customHeight="1" x14ac:dyDescent="0.25">
      <c r="A174" s="1">
        <v>3403</v>
      </c>
      <c r="B174" s="1" t="s">
        <v>191</v>
      </c>
      <c r="C174" s="1" t="s">
        <v>14</v>
      </c>
      <c r="D174" s="3">
        <v>45520</v>
      </c>
      <c r="E174" s="1" t="s">
        <v>19</v>
      </c>
      <c r="F174" s="4">
        <v>15</v>
      </c>
      <c r="G174" s="1" t="s">
        <v>16</v>
      </c>
      <c r="H174" s="1" t="s">
        <v>15</v>
      </c>
      <c r="I174" s="4">
        <v>30</v>
      </c>
      <c r="J174" s="1" t="s">
        <v>15</v>
      </c>
      <c r="K174" s="4">
        <v>20</v>
      </c>
      <c r="L174" s="4">
        <v>3</v>
      </c>
      <c r="M174" s="4">
        <v>62</v>
      </c>
    </row>
    <row r="175" spans="1:13" ht="16.5" hidden="1" customHeight="1" x14ac:dyDescent="0.25">
      <c r="A175" s="1">
        <v>3404</v>
      </c>
      <c r="B175" s="1" t="s">
        <v>192</v>
      </c>
      <c r="C175" s="1" t="s">
        <v>23</v>
      </c>
      <c r="D175" s="3">
        <v>45521</v>
      </c>
      <c r="E175" s="1" t="s">
        <v>15</v>
      </c>
      <c r="F175" s="4">
        <v>10</v>
      </c>
      <c r="G175" s="1" t="s">
        <v>20</v>
      </c>
      <c r="H175" s="1" t="s">
        <v>19</v>
      </c>
      <c r="I175" s="4" t="s">
        <v>21</v>
      </c>
      <c r="J175" s="1" t="s">
        <v>15</v>
      </c>
      <c r="K175" s="4">
        <v>20</v>
      </c>
      <c r="L175" s="4">
        <v>15</v>
      </c>
      <c r="M175" s="4">
        <v>15</v>
      </c>
    </row>
    <row r="176" spans="1:13" ht="16.5" hidden="1" customHeight="1" x14ac:dyDescent="0.25">
      <c r="A176" s="1">
        <v>3405</v>
      </c>
      <c r="B176" s="1" t="s">
        <v>193</v>
      </c>
      <c r="C176" s="1" t="s">
        <v>18</v>
      </c>
      <c r="D176" s="3">
        <v>45522</v>
      </c>
      <c r="E176" s="1" t="s">
        <v>19</v>
      </c>
      <c r="F176" s="4">
        <v>5</v>
      </c>
      <c r="G176" s="1" t="s">
        <v>16</v>
      </c>
      <c r="H176" s="1" t="s">
        <v>19</v>
      </c>
      <c r="I176" s="4" t="s">
        <v>21</v>
      </c>
      <c r="J176" s="1" t="s">
        <v>19</v>
      </c>
      <c r="K176" s="4">
        <v>0</v>
      </c>
      <c r="L176" s="4">
        <v>1</v>
      </c>
      <c r="M176" s="4">
        <v>4</v>
      </c>
    </row>
    <row r="177" spans="1:13" ht="16.5" hidden="1" customHeight="1" x14ac:dyDescent="0.25">
      <c r="A177" s="1">
        <v>3406</v>
      </c>
      <c r="B177" s="1" t="s">
        <v>194</v>
      </c>
      <c r="C177" s="1" t="s">
        <v>18</v>
      </c>
      <c r="D177" s="3">
        <v>45523</v>
      </c>
      <c r="E177" s="1" t="s">
        <v>15</v>
      </c>
      <c r="F177" s="4">
        <v>5</v>
      </c>
      <c r="G177" s="1" t="s">
        <v>16</v>
      </c>
      <c r="H177" s="1" t="s">
        <v>19</v>
      </c>
      <c r="I177" s="4" t="s">
        <v>21</v>
      </c>
      <c r="J177" s="1" t="s">
        <v>19</v>
      </c>
      <c r="K177" s="4">
        <v>0</v>
      </c>
      <c r="L177" s="4">
        <v>0</v>
      </c>
      <c r="M177" s="4">
        <v>5</v>
      </c>
    </row>
    <row r="178" spans="1:13" ht="16.5" customHeight="1" x14ac:dyDescent="0.25">
      <c r="A178" s="1">
        <v>3407</v>
      </c>
      <c r="B178" s="1" t="s">
        <v>195</v>
      </c>
      <c r="C178" s="1" t="s">
        <v>14</v>
      </c>
      <c r="D178" s="3">
        <v>45524</v>
      </c>
      <c r="E178" s="1" t="s">
        <v>19</v>
      </c>
      <c r="F178" s="4">
        <v>15</v>
      </c>
      <c r="G178" s="1" t="s">
        <v>24</v>
      </c>
      <c r="H178" s="1" t="s">
        <v>15</v>
      </c>
      <c r="I178" s="4">
        <v>30</v>
      </c>
      <c r="J178" s="1" t="s">
        <v>15</v>
      </c>
      <c r="K178" s="4">
        <v>20</v>
      </c>
      <c r="L178" s="4">
        <v>7</v>
      </c>
      <c r="M178" s="4">
        <v>58</v>
      </c>
    </row>
    <row r="179" spans="1:13" ht="16.5" hidden="1" customHeight="1" x14ac:dyDescent="0.25">
      <c r="A179" s="1">
        <v>3408</v>
      </c>
      <c r="B179" s="1" t="s">
        <v>196</v>
      </c>
      <c r="C179" s="1" t="s">
        <v>23</v>
      </c>
      <c r="D179" s="3">
        <v>45525</v>
      </c>
      <c r="E179" s="1" t="s">
        <v>15</v>
      </c>
      <c r="F179" s="4">
        <v>10</v>
      </c>
      <c r="G179" s="1" t="s">
        <v>20</v>
      </c>
      <c r="H179" s="1" t="s">
        <v>19</v>
      </c>
      <c r="I179" s="4" t="s">
        <v>21</v>
      </c>
      <c r="J179" s="1" t="s">
        <v>15</v>
      </c>
      <c r="K179" s="4">
        <v>20</v>
      </c>
      <c r="L179" s="4">
        <v>10</v>
      </c>
      <c r="M179" s="4">
        <v>20</v>
      </c>
    </row>
    <row r="180" spans="1:13" ht="16.5" hidden="1" customHeight="1" x14ac:dyDescent="0.25">
      <c r="A180" s="1">
        <v>3409</v>
      </c>
      <c r="B180" s="1" t="s">
        <v>197</v>
      </c>
      <c r="C180" s="1" t="s">
        <v>18</v>
      </c>
      <c r="D180" s="3">
        <v>45526</v>
      </c>
      <c r="E180" s="1" t="s">
        <v>19</v>
      </c>
      <c r="F180" s="4">
        <v>5</v>
      </c>
      <c r="G180" s="1" t="s">
        <v>24</v>
      </c>
      <c r="H180" s="1" t="s">
        <v>19</v>
      </c>
      <c r="I180" s="4" t="s">
        <v>21</v>
      </c>
      <c r="J180" s="1" t="s">
        <v>19</v>
      </c>
      <c r="K180" s="4">
        <v>0</v>
      </c>
      <c r="L180" s="4">
        <v>1</v>
      </c>
      <c r="M180" s="4">
        <v>4</v>
      </c>
    </row>
    <row r="181" spans="1:13" ht="16.5" customHeight="1" x14ac:dyDescent="0.25">
      <c r="A181" s="1">
        <v>3410</v>
      </c>
      <c r="B181" s="1" t="s">
        <v>198</v>
      </c>
      <c r="C181" s="1" t="s">
        <v>14</v>
      </c>
      <c r="D181" s="3">
        <v>45527</v>
      </c>
      <c r="E181" s="1" t="s">
        <v>15</v>
      </c>
      <c r="F181" s="4">
        <v>15</v>
      </c>
      <c r="G181" s="1" t="s">
        <v>16</v>
      </c>
      <c r="H181" s="1" t="s">
        <v>15</v>
      </c>
      <c r="I181" s="4">
        <v>30</v>
      </c>
      <c r="J181" s="1" t="s">
        <v>15</v>
      </c>
      <c r="K181" s="4">
        <v>20</v>
      </c>
      <c r="L181" s="4">
        <v>15</v>
      </c>
      <c r="M181" s="4">
        <v>50</v>
      </c>
    </row>
    <row r="182" spans="1:13" ht="16.5" hidden="1" customHeight="1" x14ac:dyDescent="0.25">
      <c r="A182" s="1">
        <v>3411</v>
      </c>
      <c r="B182" s="1" t="s">
        <v>199</v>
      </c>
      <c r="C182" s="1" t="s">
        <v>23</v>
      </c>
      <c r="D182" s="3">
        <v>45528</v>
      </c>
      <c r="E182" s="1" t="s">
        <v>19</v>
      </c>
      <c r="F182" s="4">
        <v>10</v>
      </c>
      <c r="G182" s="1" t="s">
        <v>16</v>
      </c>
      <c r="H182" s="1" t="s">
        <v>19</v>
      </c>
      <c r="I182" s="4" t="s">
        <v>21</v>
      </c>
      <c r="J182" s="1" t="s">
        <v>15</v>
      </c>
      <c r="K182" s="4">
        <v>20</v>
      </c>
      <c r="L182" s="4">
        <v>5</v>
      </c>
      <c r="M182" s="4">
        <v>25</v>
      </c>
    </row>
    <row r="183" spans="1:13" ht="16.5" hidden="1" customHeight="1" x14ac:dyDescent="0.25">
      <c r="A183" s="1">
        <v>3412</v>
      </c>
      <c r="B183" s="1" t="s">
        <v>200</v>
      </c>
      <c r="C183" s="1" t="s">
        <v>18</v>
      </c>
      <c r="D183" s="3">
        <v>45529</v>
      </c>
      <c r="E183" s="1" t="s">
        <v>15</v>
      </c>
      <c r="F183" s="4">
        <v>5</v>
      </c>
      <c r="G183" s="1" t="s">
        <v>20</v>
      </c>
      <c r="H183" s="1" t="s">
        <v>19</v>
      </c>
      <c r="I183" s="4" t="s">
        <v>21</v>
      </c>
      <c r="J183" s="1" t="s">
        <v>19</v>
      </c>
      <c r="K183" s="4">
        <v>0</v>
      </c>
      <c r="L183" s="4">
        <v>0</v>
      </c>
      <c r="M183" s="4">
        <v>5</v>
      </c>
    </row>
    <row r="184" spans="1:13" ht="16.5" customHeight="1" x14ac:dyDescent="0.25">
      <c r="A184" s="1">
        <v>3413</v>
      </c>
      <c r="B184" s="1" t="s">
        <v>201</v>
      </c>
      <c r="C184" s="1" t="s">
        <v>14</v>
      </c>
      <c r="D184" s="3">
        <v>45530</v>
      </c>
      <c r="E184" s="1" t="s">
        <v>19</v>
      </c>
      <c r="F184" s="4">
        <v>15</v>
      </c>
      <c r="G184" s="1" t="s">
        <v>24</v>
      </c>
      <c r="H184" s="1" t="s">
        <v>15</v>
      </c>
      <c r="I184" s="4">
        <v>30</v>
      </c>
      <c r="J184" s="1" t="s">
        <v>15</v>
      </c>
      <c r="K184" s="4">
        <v>20</v>
      </c>
      <c r="L184" s="4">
        <v>20</v>
      </c>
      <c r="M184" s="4">
        <v>45</v>
      </c>
    </row>
    <row r="185" spans="1:13" ht="16.5" hidden="1" customHeight="1" x14ac:dyDescent="0.25">
      <c r="A185" s="1">
        <v>3414</v>
      </c>
      <c r="B185" s="1" t="s">
        <v>202</v>
      </c>
      <c r="C185" s="1" t="s">
        <v>23</v>
      </c>
      <c r="D185" s="3">
        <v>45531</v>
      </c>
      <c r="E185" s="1" t="s">
        <v>15</v>
      </c>
      <c r="F185" s="4">
        <v>10</v>
      </c>
      <c r="G185" s="1" t="s">
        <v>24</v>
      </c>
      <c r="H185" s="1" t="s">
        <v>19</v>
      </c>
      <c r="I185" s="4" t="s">
        <v>21</v>
      </c>
      <c r="J185" s="1" t="s">
        <v>15</v>
      </c>
      <c r="K185" s="4">
        <v>20</v>
      </c>
      <c r="L185" s="4">
        <v>12</v>
      </c>
      <c r="M185" s="4">
        <v>18</v>
      </c>
    </row>
    <row r="186" spans="1:13" ht="16.5" hidden="1" customHeight="1" x14ac:dyDescent="0.25">
      <c r="A186" s="1">
        <v>3415</v>
      </c>
      <c r="B186" s="1" t="s">
        <v>203</v>
      </c>
      <c r="C186" s="1" t="s">
        <v>18</v>
      </c>
      <c r="D186" s="3">
        <v>45532</v>
      </c>
      <c r="E186" s="1" t="s">
        <v>19</v>
      </c>
      <c r="F186" s="4">
        <v>5</v>
      </c>
      <c r="G186" s="1" t="s">
        <v>16</v>
      </c>
      <c r="H186" s="1" t="s">
        <v>19</v>
      </c>
      <c r="I186" s="4" t="s">
        <v>21</v>
      </c>
      <c r="J186" s="1" t="s">
        <v>19</v>
      </c>
      <c r="K186" s="4">
        <v>0</v>
      </c>
      <c r="L186" s="4">
        <v>2</v>
      </c>
      <c r="M186" s="4">
        <v>3</v>
      </c>
    </row>
    <row r="187" spans="1:13" ht="16.5" customHeight="1" x14ac:dyDescent="0.25">
      <c r="A187" s="1">
        <v>3416</v>
      </c>
      <c r="B187" s="1" t="s">
        <v>204</v>
      </c>
      <c r="C187" s="1" t="s">
        <v>14</v>
      </c>
      <c r="D187" s="3">
        <v>45533</v>
      </c>
      <c r="E187" s="1" t="s">
        <v>15</v>
      </c>
      <c r="F187" s="4">
        <v>15</v>
      </c>
      <c r="G187" s="1" t="s">
        <v>20</v>
      </c>
      <c r="H187" s="1" t="s">
        <v>15</v>
      </c>
      <c r="I187" s="4">
        <v>30</v>
      </c>
      <c r="J187" s="1" t="s">
        <v>15</v>
      </c>
      <c r="K187" s="4">
        <v>20</v>
      </c>
      <c r="L187" s="4">
        <v>5</v>
      </c>
      <c r="M187" s="4">
        <v>60</v>
      </c>
    </row>
    <row r="188" spans="1:13" ht="16.5" hidden="1" customHeight="1" x14ac:dyDescent="0.25">
      <c r="A188" s="1">
        <v>3417</v>
      </c>
      <c r="B188" s="1" t="s">
        <v>205</v>
      </c>
      <c r="C188" s="1" t="s">
        <v>23</v>
      </c>
      <c r="D188" s="3">
        <v>45534</v>
      </c>
      <c r="E188" s="1" t="s">
        <v>19</v>
      </c>
      <c r="F188" s="4">
        <v>10</v>
      </c>
      <c r="G188" s="1" t="s">
        <v>16</v>
      </c>
      <c r="H188" s="1" t="s">
        <v>19</v>
      </c>
      <c r="I188" s="4" t="s">
        <v>21</v>
      </c>
      <c r="J188" s="1" t="s">
        <v>15</v>
      </c>
      <c r="K188" s="4">
        <v>20</v>
      </c>
      <c r="L188" s="4">
        <v>10</v>
      </c>
      <c r="M188" s="4">
        <v>20</v>
      </c>
    </row>
    <row r="189" spans="1:13" ht="16.5" hidden="1" customHeight="1" x14ac:dyDescent="0.25">
      <c r="A189" s="1">
        <v>3418</v>
      </c>
      <c r="B189" s="1" t="s">
        <v>206</v>
      </c>
      <c r="C189" s="1" t="s">
        <v>18</v>
      </c>
      <c r="D189" s="3">
        <v>45535</v>
      </c>
      <c r="E189" s="1" t="s">
        <v>15</v>
      </c>
      <c r="F189" s="4">
        <v>5</v>
      </c>
      <c r="G189" s="1" t="s">
        <v>24</v>
      </c>
      <c r="H189" s="1" t="s">
        <v>19</v>
      </c>
      <c r="I189" s="4" t="s">
        <v>21</v>
      </c>
      <c r="J189" s="1" t="s">
        <v>19</v>
      </c>
      <c r="K189" s="4">
        <v>0</v>
      </c>
      <c r="L189" s="4">
        <v>0</v>
      </c>
      <c r="M189" s="4">
        <v>5</v>
      </c>
    </row>
    <row r="190" spans="1:13" ht="16.5" customHeight="1" x14ac:dyDescent="0.25">
      <c r="A190" s="1">
        <v>3419</v>
      </c>
      <c r="B190" s="1" t="s">
        <v>207</v>
      </c>
      <c r="C190" s="1" t="s">
        <v>14</v>
      </c>
      <c r="D190" s="3">
        <v>45536</v>
      </c>
      <c r="E190" s="1" t="s">
        <v>19</v>
      </c>
      <c r="F190" s="4">
        <v>15</v>
      </c>
      <c r="G190" s="1" t="s">
        <v>16</v>
      </c>
      <c r="H190" s="1" t="s">
        <v>15</v>
      </c>
      <c r="I190" s="4">
        <v>30</v>
      </c>
      <c r="J190" s="1" t="s">
        <v>15</v>
      </c>
      <c r="K190" s="4">
        <v>20</v>
      </c>
      <c r="L190" s="4">
        <v>3</v>
      </c>
      <c r="M190" s="4">
        <v>62</v>
      </c>
    </row>
    <row r="191" spans="1:13" ht="16.5" hidden="1" customHeight="1" x14ac:dyDescent="0.25">
      <c r="A191" s="1">
        <v>3420</v>
      </c>
      <c r="B191" s="1" t="s">
        <v>208</v>
      </c>
      <c r="C191" s="1" t="s">
        <v>23</v>
      </c>
      <c r="D191" s="3">
        <v>45537</v>
      </c>
      <c r="E191" s="1" t="s">
        <v>15</v>
      </c>
      <c r="F191" s="4">
        <v>10</v>
      </c>
      <c r="G191" s="1" t="s">
        <v>20</v>
      </c>
      <c r="H191" s="1" t="s">
        <v>19</v>
      </c>
      <c r="I191" s="4" t="s">
        <v>21</v>
      </c>
      <c r="J191" s="1" t="s">
        <v>15</v>
      </c>
      <c r="K191" s="4">
        <v>20</v>
      </c>
      <c r="L191" s="4">
        <v>15</v>
      </c>
      <c r="M191" s="4">
        <v>15</v>
      </c>
    </row>
    <row r="192" spans="1:13" ht="16.5" hidden="1" customHeight="1" x14ac:dyDescent="0.25">
      <c r="A192" s="1">
        <v>3421</v>
      </c>
      <c r="B192" s="1" t="s">
        <v>37</v>
      </c>
      <c r="C192" s="1" t="s">
        <v>18</v>
      </c>
      <c r="D192" s="3">
        <v>45538</v>
      </c>
      <c r="E192" s="1" t="s">
        <v>19</v>
      </c>
      <c r="F192" s="4">
        <v>5</v>
      </c>
      <c r="G192" s="1" t="s">
        <v>16</v>
      </c>
      <c r="H192" s="1" t="s">
        <v>19</v>
      </c>
      <c r="I192" s="4" t="s">
        <v>21</v>
      </c>
      <c r="J192" s="1" t="s">
        <v>19</v>
      </c>
      <c r="K192" s="4">
        <v>0</v>
      </c>
      <c r="L192" s="4">
        <v>1</v>
      </c>
      <c r="M192" s="4">
        <v>4</v>
      </c>
    </row>
    <row r="193" spans="1:13" ht="16.5" customHeight="1" x14ac:dyDescent="0.25">
      <c r="A193" s="1">
        <v>3422</v>
      </c>
      <c r="B193" s="1" t="s">
        <v>209</v>
      </c>
      <c r="C193" s="1" t="s">
        <v>14</v>
      </c>
      <c r="D193" s="3">
        <v>45539</v>
      </c>
      <c r="E193" s="1" t="s">
        <v>15</v>
      </c>
      <c r="F193" s="4">
        <v>15</v>
      </c>
      <c r="G193" s="1" t="s">
        <v>24</v>
      </c>
      <c r="H193" s="1" t="s">
        <v>15</v>
      </c>
      <c r="I193" s="4">
        <v>30</v>
      </c>
      <c r="J193" s="1" t="s">
        <v>15</v>
      </c>
      <c r="K193" s="4">
        <v>20</v>
      </c>
      <c r="L193" s="4">
        <v>7</v>
      </c>
      <c r="M193" s="4">
        <v>58</v>
      </c>
    </row>
    <row r="194" spans="1:13" ht="16.5" hidden="1" customHeight="1" x14ac:dyDescent="0.25">
      <c r="A194" s="1">
        <v>3423</v>
      </c>
      <c r="B194" s="1" t="s">
        <v>210</v>
      </c>
      <c r="C194" s="1" t="s">
        <v>23</v>
      </c>
      <c r="D194" s="3">
        <v>45540</v>
      </c>
      <c r="E194" s="1" t="s">
        <v>19</v>
      </c>
      <c r="F194" s="4">
        <v>10</v>
      </c>
      <c r="G194" s="1" t="s">
        <v>16</v>
      </c>
      <c r="H194" s="1" t="s">
        <v>19</v>
      </c>
      <c r="I194" s="4" t="s">
        <v>21</v>
      </c>
      <c r="J194" s="1" t="s">
        <v>15</v>
      </c>
      <c r="K194" s="4">
        <v>20</v>
      </c>
      <c r="L194" s="4">
        <v>10</v>
      </c>
      <c r="M194" s="4">
        <v>20</v>
      </c>
    </row>
    <row r="195" spans="1:13" ht="16.5" hidden="1" customHeight="1" x14ac:dyDescent="0.25">
      <c r="A195" s="1">
        <v>3424</v>
      </c>
      <c r="B195" s="1" t="s">
        <v>36</v>
      </c>
      <c r="C195" s="1" t="s">
        <v>18</v>
      </c>
      <c r="D195" s="3">
        <v>45541</v>
      </c>
      <c r="E195" s="1" t="s">
        <v>15</v>
      </c>
      <c r="F195" s="4">
        <v>5</v>
      </c>
      <c r="G195" s="1" t="s">
        <v>20</v>
      </c>
      <c r="H195" s="1" t="s">
        <v>19</v>
      </c>
      <c r="I195" s="4" t="s">
        <v>21</v>
      </c>
      <c r="J195" s="1" t="s">
        <v>19</v>
      </c>
      <c r="K195" s="4">
        <v>0</v>
      </c>
      <c r="L195" s="4">
        <v>0</v>
      </c>
      <c r="M195" s="4">
        <v>5</v>
      </c>
    </row>
    <row r="196" spans="1:13" ht="16.5" customHeight="1" x14ac:dyDescent="0.25">
      <c r="A196" s="1">
        <v>3425</v>
      </c>
      <c r="B196" s="1" t="s">
        <v>211</v>
      </c>
      <c r="C196" s="1" t="s">
        <v>14</v>
      </c>
      <c r="D196" s="3">
        <v>45542</v>
      </c>
      <c r="E196" s="1" t="s">
        <v>19</v>
      </c>
      <c r="F196" s="4">
        <v>15</v>
      </c>
      <c r="G196" s="1" t="s">
        <v>16</v>
      </c>
      <c r="H196" s="1" t="s">
        <v>15</v>
      </c>
      <c r="I196" s="4">
        <v>30</v>
      </c>
      <c r="J196" s="1" t="s">
        <v>15</v>
      </c>
      <c r="K196" s="4">
        <v>20</v>
      </c>
      <c r="L196" s="4">
        <v>20</v>
      </c>
      <c r="M196" s="4">
        <v>45</v>
      </c>
    </row>
    <row r="197" spans="1:13" ht="16.5" hidden="1" customHeight="1" x14ac:dyDescent="0.25">
      <c r="A197" s="1">
        <v>3426</v>
      </c>
      <c r="B197" s="1" t="s">
        <v>189</v>
      </c>
      <c r="C197" s="1" t="s">
        <v>23</v>
      </c>
      <c r="D197" s="3">
        <v>45543</v>
      </c>
      <c r="E197" s="1" t="s">
        <v>15</v>
      </c>
      <c r="F197" s="4">
        <v>10</v>
      </c>
      <c r="G197" s="1" t="s">
        <v>24</v>
      </c>
      <c r="H197" s="1" t="s">
        <v>19</v>
      </c>
      <c r="I197" s="4" t="s">
        <v>21</v>
      </c>
      <c r="J197" s="1" t="s">
        <v>15</v>
      </c>
      <c r="K197" s="4">
        <v>20</v>
      </c>
      <c r="L197" s="4">
        <v>15</v>
      </c>
      <c r="M197" s="4">
        <v>15</v>
      </c>
    </row>
    <row r="198" spans="1:13" ht="16.5" hidden="1" customHeight="1" x14ac:dyDescent="0.25">
      <c r="A198" s="1">
        <v>3427</v>
      </c>
      <c r="B198" s="1" t="s">
        <v>212</v>
      </c>
      <c r="C198" s="1" t="s">
        <v>18</v>
      </c>
      <c r="D198" s="3">
        <v>45544</v>
      </c>
      <c r="E198" s="1" t="s">
        <v>19</v>
      </c>
      <c r="F198" s="4">
        <v>5</v>
      </c>
      <c r="G198" s="1" t="s">
        <v>16</v>
      </c>
      <c r="H198" s="1" t="s">
        <v>19</v>
      </c>
      <c r="I198" s="4" t="s">
        <v>21</v>
      </c>
      <c r="J198" s="1" t="s">
        <v>19</v>
      </c>
      <c r="K198" s="4">
        <v>0</v>
      </c>
      <c r="L198" s="4">
        <v>1</v>
      </c>
      <c r="M198" s="4">
        <v>4</v>
      </c>
    </row>
    <row r="199" spans="1:13" ht="16.5" customHeight="1" x14ac:dyDescent="0.25">
      <c r="A199" s="1">
        <v>3428</v>
      </c>
      <c r="B199" s="1" t="s">
        <v>213</v>
      </c>
      <c r="C199" s="1" t="s">
        <v>14</v>
      </c>
      <c r="D199" s="3">
        <v>45545</v>
      </c>
      <c r="E199" s="1" t="s">
        <v>15</v>
      </c>
      <c r="F199" s="4">
        <v>15</v>
      </c>
      <c r="G199" s="1" t="s">
        <v>20</v>
      </c>
      <c r="H199" s="1" t="s">
        <v>15</v>
      </c>
      <c r="I199" s="4">
        <v>30</v>
      </c>
      <c r="J199" s="1" t="s">
        <v>15</v>
      </c>
      <c r="K199" s="4">
        <v>20</v>
      </c>
      <c r="L199" s="4">
        <v>3</v>
      </c>
      <c r="M199" s="4">
        <v>62</v>
      </c>
    </row>
    <row r="200" spans="1:13" ht="16.5" hidden="1" customHeight="1" x14ac:dyDescent="0.25">
      <c r="A200" s="1">
        <v>3429</v>
      </c>
      <c r="B200" s="1" t="s">
        <v>214</v>
      </c>
      <c r="C200" s="1" t="s">
        <v>23</v>
      </c>
      <c r="D200" s="3">
        <v>45546</v>
      </c>
      <c r="E200" s="1" t="s">
        <v>19</v>
      </c>
      <c r="F200" s="4">
        <v>10</v>
      </c>
      <c r="G200" s="1" t="s">
        <v>16</v>
      </c>
      <c r="H200" s="1" t="s">
        <v>19</v>
      </c>
      <c r="I200" s="4" t="s">
        <v>21</v>
      </c>
      <c r="J200" s="1" t="s">
        <v>15</v>
      </c>
      <c r="K200" s="4">
        <v>20</v>
      </c>
      <c r="L200" s="4">
        <v>10</v>
      </c>
      <c r="M200" s="4">
        <v>20</v>
      </c>
    </row>
    <row r="201" spans="1:13" ht="16.5" hidden="1" customHeight="1" x14ac:dyDescent="0.25">
      <c r="A201" s="1">
        <v>3430</v>
      </c>
      <c r="B201" s="1" t="s">
        <v>215</v>
      </c>
      <c r="C201" s="1" t="s">
        <v>18</v>
      </c>
      <c r="D201" s="3">
        <v>45547</v>
      </c>
      <c r="E201" s="1" t="s">
        <v>15</v>
      </c>
      <c r="F201" s="4">
        <v>5</v>
      </c>
      <c r="G201" s="1" t="s">
        <v>24</v>
      </c>
      <c r="H201" s="1" t="s">
        <v>19</v>
      </c>
      <c r="I201" s="4" t="s">
        <v>21</v>
      </c>
      <c r="J201" s="1" t="s">
        <v>19</v>
      </c>
      <c r="K201" s="4">
        <v>0</v>
      </c>
      <c r="L201" s="4">
        <v>0</v>
      </c>
      <c r="M201" s="4">
        <v>5</v>
      </c>
    </row>
    <row r="202" spans="1:13" ht="16.5" customHeight="1" x14ac:dyDescent="0.25">
      <c r="A202" s="1">
        <v>3431</v>
      </c>
      <c r="B202" s="1" t="s">
        <v>216</v>
      </c>
      <c r="C202" s="1" t="s">
        <v>14</v>
      </c>
      <c r="D202" s="3">
        <v>45548</v>
      </c>
      <c r="E202" s="1" t="s">
        <v>19</v>
      </c>
      <c r="F202" s="4">
        <v>15</v>
      </c>
      <c r="G202" s="1" t="s">
        <v>16</v>
      </c>
      <c r="H202" s="1" t="s">
        <v>15</v>
      </c>
      <c r="I202" s="4">
        <v>30</v>
      </c>
      <c r="J202" s="1" t="s">
        <v>15</v>
      </c>
      <c r="K202" s="4">
        <v>20</v>
      </c>
      <c r="L202" s="4">
        <v>15</v>
      </c>
      <c r="M202" s="4">
        <v>50</v>
      </c>
    </row>
    <row r="203" spans="1:13" ht="16.5" hidden="1" customHeight="1" x14ac:dyDescent="0.25">
      <c r="A203" s="1">
        <v>3432</v>
      </c>
      <c r="B203" s="1" t="s">
        <v>217</v>
      </c>
      <c r="C203" s="1" t="s">
        <v>23</v>
      </c>
      <c r="D203" s="3">
        <v>45549</v>
      </c>
      <c r="E203" s="1" t="s">
        <v>15</v>
      </c>
      <c r="F203" s="4">
        <v>10</v>
      </c>
      <c r="G203" s="1" t="s">
        <v>20</v>
      </c>
      <c r="H203" s="1" t="s">
        <v>19</v>
      </c>
      <c r="I203" s="4" t="s">
        <v>21</v>
      </c>
      <c r="J203" s="1" t="s">
        <v>15</v>
      </c>
      <c r="K203" s="4">
        <v>20</v>
      </c>
      <c r="L203" s="4">
        <v>15</v>
      </c>
      <c r="M203" s="4">
        <v>15</v>
      </c>
    </row>
    <row r="204" spans="1:13" ht="16.5" hidden="1" customHeight="1" x14ac:dyDescent="0.25">
      <c r="A204" s="1">
        <v>3433</v>
      </c>
      <c r="B204" s="1" t="s">
        <v>218</v>
      </c>
      <c r="C204" s="1" t="s">
        <v>18</v>
      </c>
      <c r="D204" s="3">
        <v>45550</v>
      </c>
      <c r="E204" s="1" t="s">
        <v>19</v>
      </c>
      <c r="F204" s="4">
        <v>5</v>
      </c>
      <c r="G204" s="1" t="s">
        <v>16</v>
      </c>
      <c r="H204" s="1" t="s">
        <v>19</v>
      </c>
      <c r="I204" s="4" t="s">
        <v>21</v>
      </c>
      <c r="J204" s="1" t="s">
        <v>19</v>
      </c>
      <c r="K204" s="4">
        <v>0</v>
      </c>
      <c r="L204" s="4">
        <v>1</v>
      </c>
      <c r="M204" s="4">
        <v>4</v>
      </c>
    </row>
    <row r="205" spans="1:13" ht="16.5" customHeight="1" x14ac:dyDescent="0.25">
      <c r="A205" s="1">
        <v>3434</v>
      </c>
      <c r="B205" s="1" t="s">
        <v>219</v>
      </c>
      <c r="C205" s="1" t="s">
        <v>14</v>
      </c>
      <c r="D205" s="3">
        <v>45551</v>
      </c>
      <c r="E205" s="1" t="s">
        <v>15</v>
      </c>
      <c r="F205" s="4">
        <v>15</v>
      </c>
      <c r="G205" s="1" t="s">
        <v>24</v>
      </c>
      <c r="H205" s="1" t="s">
        <v>15</v>
      </c>
      <c r="I205" s="4">
        <v>30</v>
      </c>
      <c r="J205" s="1" t="s">
        <v>15</v>
      </c>
      <c r="K205" s="4">
        <v>20</v>
      </c>
      <c r="L205" s="4">
        <v>7</v>
      </c>
      <c r="M205" s="4">
        <v>58</v>
      </c>
    </row>
    <row r="206" spans="1:13" ht="16.5" hidden="1" customHeight="1" x14ac:dyDescent="0.25">
      <c r="A206" s="1">
        <v>3435</v>
      </c>
      <c r="B206" s="1" t="s">
        <v>220</v>
      </c>
      <c r="C206" s="1" t="s">
        <v>23</v>
      </c>
      <c r="D206" s="3">
        <v>45552</v>
      </c>
      <c r="E206" s="1" t="s">
        <v>19</v>
      </c>
      <c r="F206" s="4">
        <v>10</v>
      </c>
      <c r="G206" s="1" t="s">
        <v>16</v>
      </c>
      <c r="H206" s="1" t="s">
        <v>19</v>
      </c>
      <c r="I206" s="4" t="s">
        <v>21</v>
      </c>
      <c r="J206" s="1" t="s">
        <v>15</v>
      </c>
      <c r="K206" s="4">
        <v>20</v>
      </c>
      <c r="L206" s="4">
        <v>10</v>
      </c>
      <c r="M206" s="4">
        <v>20</v>
      </c>
    </row>
    <row r="207" spans="1:13" ht="16.5" hidden="1" customHeight="1" x14ac:dyDescent="0.25">
      <c r="A207" s="1">
        <v>3436</v>
      </c>
      <c r="B207" s="1" t="s">
        <v>221</v>
      </c>
      <c r="C207" s="1" t="s">
        <v>18</v>
      </c>
      <c r="D207" s="3">
        <v>45553</v>
      </c>
      <c r="E207" s="1" t="s">
        <v>15</v>
      </c>
      <c r="F207" s="4">
        <v>5</v>
      </c>
      <c r="G207" s="1" t="s">
        <v>16</v>
      </c>
      <c r="H207" s="1" t="s">
        <v>19</v>
      </c>
      <c r="I207" s="4" t="s">
        <v>21</v>
      </c>
      <c r="J207" s="1" t="s">
        <v>19</v>
      </c>
      <c r="K207" s="4">
        <v>0</v>
      </c>
      <c r="L207" s="4">
        <v>0</v>
      </c>
      <c r="M207" s="4">
        <v>5</v>
      </c>
    </row>
    <row r="208" spans="1:13" ht="16.5" customHeight="1" x14ac:dyDescent="0.25">
      <c r="A208" s="1">
        <v>3437</v>
      </c>
      <c r="B208" s="1" t="s">
        <v>222</v>
      </c>
      <c r="C208" s="1" t="s">
        <v>14</v>
      </c>
      <c r="D208" s="3">
        <v>45554</v>
      </c>
      <c r="E208" s="1" t="s">
        <v>19</v>
      </c>
      <c r="F208" s="4">
        <v>15</v>
      </c>
      <c r="G208" s="1" t="s">
        <v>24</v>
      </c>
      <c r="H208" s="1" t="s">
        <v>15</v>
      </c>
      <c r="I208" s="4">
        <v>30</v>
      </c>
      <c r="J208" s="1" t="s">
        <v>15</v>
      </c>
      <c r="K208" s="4">
        <v>20</v>
      </c>
      <c r="L208" s="4">
        <v>7</v>
      </c>
      <c r="M208" s="4">
        <v>58</v>
      </c>
    </row>
    <row r="209" spans="1:13" ht="16.5" hidden="1" customHeight="1" x14ac:dyDescent="0.25">
      <c r="A209" s="1">
        <v>3438</v>
      </c>
      <c r="B209" s="1" t="s">
        <v>223</v>
      </c>
      <c r="C209" s="1" t="s">
        <v>23</v>
      </c>
      <c r="D209" s="3">
        <v>45555</v>
      </c>
      <c r="E209" s="1" t="s">
        <v>15</v>
      </c>
      <c r="F209" s="4">
        <v>10</v>
      </c>
      <c r="G209" s="1" t="s">
        <v>20</v>
      </c>
      <c r="H209" s="1" t="s">
        <v>19</v>
      </c>
      <c r="I209" s="4" t="s">
        <v>21</v>
      </c>
      <c r="J209" s="1" t="s">
        <v>15</v>
      </c>
      <c r="K209" s="4">
        <v>20</v>
      </c>
      <c r="L209" s="4">
        <v>10</v>
      </c>
      <c r="M209" s="4">
        <v>20</v>
      </c>
    </row>
    <row r="210" spans="1:13" ht="16.5" hidden="1" customHeight="1" x14ac:dyDescent="0.25">
      <c r="A210" s="1">
        <v>3439</v>
      </c>
      <c r="B210" s="1" t="s">
        <v>224</v>
      </c>
      <c r="C210" s="1" t="s">
        <v>18</v>
      </c>
      <c r="D210" s="3">
        <v>45556</v>
      </c>
      <c r="E210" s="1" t="s">
        <v>19</v>
      </c>
      <c r="F210" s="4">
        <v>5</v>
      </c>
      <c r="G210" s="1" t="s">
        <v>24</v>
      </c>
      <c r="H210" s="1" t="s">
        <v>19</v>
      </c>
      <c r="I210" s="4" t="s">
        <v>21</v>
      </c>
      <c r="J210" s="1" t="s">
        <v>19</v>
      </c>
      <c r="K210" s="4">
        <v>0</v>
      </c>
      <c r="L210" s="4">
        <v>1</v>
      </c>
      <c r="M210" s="4">
        <v>4</v>
      </c>
    </row>
    <row r="211" spans="1:13" ht="16.5" customHeight="1" x14ac:dyDescent="0.25">
      <c r="A211" s="1">
        <v>3440</v>
      </c>
      <c r="B211" s="1" t="s">
        <v>225</v>
      </c>
      <c r="C211" s="1" t="s">
        <v>14</v>
      </c>
      <c r="D211" s="3">
        <v>45557</v>
      </c>
      <c r="E211" s="1" t="s">
        <v>15</v>
      </c>
      <c r="F211" s="4">
        <v>15</v>
      </c>
      <c r="G211" s="1" t="s">
        <v>16</v>
      </c>
      <c r="H211" s="1" t="s">
        <v>15</v>
      </c>
      <c r="I211" s="4">
        <v>30</v>
      </c>
      <c r="J211" s="1" t="s">
        <v>15</v>
      </c>
      <c r="K211" s="4">
        <v>20</v>
      </c>
      <c r="L211" s="4">
        <v>15</v>
      </c>
      <c r="M211" s="4">
        <v>50</v>
      </c>
    </row>
    <row r="212" spans="1:13" ht="16.5" hidden="1" customHeight="1" x14ac:dyDescent="0.25">
      <c r="A212" s="1">
        <v>3441</v>
      </c>
      <c r="B212" s="1" t="s">
        <v>226</v>
      </c>
      <c r="C212" s="1" t="s">
        <v>23</v>
      </c>
      <c r="D212" s="3">
        <v>45558</v>
      </c>
      <c r="E212" s="1" t="s">
        <v>19</v>
      </c>
      <c r="F212" s="4">
        <v>10</v>
      </c>
      <c r="G212" s="1" t="s">
        <v>16</v>
      </c>
      <c r="H212" s="1" t="s">
        <v>19</v>
      </c>
      <c r="I212" s="4" t="s">
        <v>21</v>
      </c>
      <c r="J212" s="1" t="s">
        <v>15</v>
      </c>
      <c r="K212" s="4">
        <v>20</v>
      </c>
      <c r="L212" s="4">
        <v>5</v>
      </c>
      <c r="M212" s="4">
        <v>25</v>
      </c>
    </row>
    <row r="213" spans="1:13" ht="16.5" hidden="1" customHeight="1" x14ac:dyDescent="0.25">
      <c r="A213" s="1">
        <v>3442</v>
      </c>
      <c r="B213" s="1" t="s">
        <v>227</v>
      </c>
      <c r="C213" s="1" t="s">
        <v>18</v>
      </c>
      <c r="D213" s="3">
        <v>45559</v>
      </c>
      <c r="E213" s="1" t="s">
        <v>15</v>
      </c>
      <c r="F213" s="4">
        <v>5</v>
      </c>
      <c r="G213" s="1" t="s">
        <v>20</v>
      </c>
      <c r="H213" s="1" t="s">
        <v>19</v>
      </c>
      <c r="I213" s="4" t="s">
        <v>21</v>
      </c>
      <c r="J213" s="1" t="s">
        <v>19</v>
      </c>
      <c r="K213" s="4">
        <v>0</v>
      </c>
      <c r="L213" s="4">
        <v>0</v>
      </c>
      <c r="M213" s="4">
        <v>5</v>
      </c>
    </row>
    <row r="214" spans="1:13" ht="16.5" customHeight="1" x14ac:dyDescent="0.25">
      <c r="A214" s="1">
        <v>3443</v>
      </c>
      <c r="B214" s="1" t="s">
        <v>228</v>
      </c>
      <c r="C214" s="1" t="s">
        <v>14</v>
      </c>
      <c r="D214" s="3">
        <v>45560</v>
      </c>
      <c r="E214" s="1" t="s">
        <v>19</v>
      </c>
      <c r="F214" s="4">
        <v>15</v>
      </c>
      <c r="G214" s="1" t="s">
        <v>24</v>
      </c>
      <c r="H214" s="1" t="s">
        <v>15</v>
      </c>
      <c r="I214" s="4">
        <v>30</v>
      </c>
      <c r="J214" s="1" t="s">
        <v>15</v>
      </c>
      <c r="K214" s="4">
        <v>20</v>
      </c>
      <c r="L214" s="4">
        <v>20</v>
      </c>
      <c r="M214" s="4">
        <v>45</v>
      </c>
    </row>
    <row r="215" spans="1:13" ht="16.5" hidden="1" customHeight="1" x14ac:dyDescent="0.25">
      <c r="A215" s="1">
        <v>3444</v>
      </c>
      <c r="B215" s="1" t="s">
        <v>229</v>
      </c>
      <c r="C215" s="1" t="s">
        <v>23</v>
      </c>
      <c r="D215" s="3">
        <v>45561</v>
      </c>
      <c r="E215" s="1" t="s">
        <v>15</v>
      </c>
      <c r="F215" s="4">
        <v>10</v>
      </c>
      <c r="G215" s="1" t="s">
        <v>24</v>
      </c>
      <c r="H215" s="1" t="s">
        <v>19</v>
      </c>
      <c r="I215" s="4" t="s">
        <v>21</v>
      </c>
      <c r="J215" s="1" t="s">
        <v>15</v>
      </c>
      <c r="K215" s="4">
        <v>20</v>
      </c>
      <c r="L215" s="4">
        <v>12</v>
      </c>
      <c r="M215" s="4">
        <v>18</v>
      </c>
    </row>
    <row r="216" spans="1:13" ht="16.5" hidden="1" customHeight="1" x14ac:dyDescent="0.25">
      <c r="A216" s="1">
        <v>3445</v>
      </c>
      <c r="B216" s="1" t="s">
        <v>59</v>
      </c>
      <c r="C216" s="1" t="s">
        <v>18</v>
      </c>
      <c r="D216" s="3">
        <v>45562</v>
      </c>
      <c r="E216" s="1" t="s">
        <v>19</v>
      </c>
      <c r="F216" s="4">
        <v>5</v>
      </c>
      <c r="G216" s="1" t="s">
        <v>16</v>
      </c>
      <c r="H216" s="1" t="s">
        <v>19</v>
      </c>
      <c r="I216" s="4" t="s">
        <v>21</v>
      </c>
      <c r="J216" s="1" t="s">
        <v>19</v>
      </c>
      <c r="K216" s="4">
        <v>0</v>
      </c>
      <c r="L216" s="4">
        <v>2</v>
      </c>
      <c r="M216" s="4">
        <v>3</v>
      </c>
    </row>
    <row r="217" spans="1:13" ht="16.5" customHeight="1" x14ac:dyDescent="0.25">
      <c r="A217" s="1">
        <v>3446</v>
      </c>
      <c r="B217" s="1" t="s">
        <v>230</v>
      </c>
      <c r="C217" s="1" t="s">
        <v>14</v>
      </c>
      <c r="D217" s="3">
        <v>45563</v>
      </c>
      <c r="E217" s="1" t="s">
        <v>15</v>
      </c>
      <c r="F217" s="4">
        <v>15</v>
      </c>
      <c r="G217" s="1" t="s">
        <v>20</v>
      </c>
      <c r="H217" s="1" t="s">
        <v>15</v>
      </c>
      <c r="I217" s="4">
        <v>30</v>
      </c>
      <c r="J217" s="1" t="s">
        <v>15</v>
      </c>
      <c r="K217" s="4">
        <v>20</v>
      </c>
      <c r="L217" s="4">
        <v>5</v>
      </c>
      <c r="M217" s="4">
        <v>60</v>
      </c>
    </row>
    <row r="218" spans="1:13" ht="16.5" hidden="1" customHeight="1" x14ac:dyDescent="0.25">
      <c r="A218" s="1">
        <v>3447</v>
      </c>
      <c r="B218" s="1" t="s">
        <v>231</v>
      </c>
      <c r="C218" s="1" t="s">
        <v>23</v>
      </c>
      <c r="D218" s="3">
        <v>45564</v>
      </c>
      <c r="E218" s="1" t="s">
        <v>19</v>
      </c>
      <c r="F218" s="4">
        <v>10</v>
      </c>
      <c r="G218" s="1" t="s">
        <v>16</v>
      </c>
      <c r="H218" s="1" t="s">
        <v>19</v>
      </c>
      <c r="I218" s="4" t="s">
        <v>21</v>
      </c>
      <c r="J218" s="1" t="s">
        <v>15</v>
      </c>
      <c r="K218" s="4">
        <v>20</v>
      </c>
      <c r="L218" s="4">
        <v>10</v>
      </c>
      <c r="M218" s="4">
        <v>20</v>
      </c>
    </row>
    <row r="219" spans="1:13" ht="16.5" hidden="1" customHeight="1" x14ac:dyDescent="0.25">
      <c r="A219" s="1">
        <v>3448</v>
      </c>
      <c r="B219" s="1" t="s">
        <v>232</v>
      </c>
      <c r="C219" s="1" t="s">
        <v>18</v>
      </c>
      <c r="D219" s="3">
        <v>45565</v>
      </c>
      <c r="E219" s="1" t="s">
        <v>15</v>
      </c>
      <c r="F219" s="4">
        <v>5</v>
      </c>
      <c r="G219" s="1" t="s">
        <v>24</v>
      </c>
      <c r="H219" s="1" t="s">
        <v>19</v>
      </c>
      <c r="I219" s="4" t="s">
        <v>21</v>
      </c>
      <c r="J219" s="1" t="s">
        <v>19</v>
      </c>
      <c r="K219" s="4">
        <v>0</v>
      </c>
      <c r="L219" s="4">
        <v>0</v>
      </c>
      <c r="M219" s="4">
        <v>5</v>
      </c>
    </row>
    <row r="220" spans="1:13" ht="16.5" customHeight="1" x14ac:dyDescent="0.25">
      <c r="A220" s="1">
        <v>3449</v>
      </c>
      <c r="B220" s="1" t="s">
        <v>233</v>
      </c>
      <c r="C220" s="1" t="s">
        <v>14</v>
      </c>
      <c r="D220" s="3">
        <v>45566</v>
      </c>
      <c r="E220" s="1" t="s">
        <v>19</v>
      </c>
      <c r="F220" s="4">
        <v>15</v>
      </c>
      <c r="G220" s="1" t="s">
        <v>16</v>
      </c>
      <c r="H220" s="1" t="s">
        <v>15</v>
      </c>
      <c r="I220" s="4">
        <v>30</v>
      </c>
      <c r="J220" s="1" t="s">
        <v>15</v>
      </c>
      <c r="K220" s="4">
        <v>20</v>
      </c>
      <c r="L220" s="4">
        <v>3</v>
      </c>
      <c r="M220" s="4">
        <v>62</v>
      </c>
    </row>
    <row r="221" spans="1:13" ht="16.5" hidden="1" customHeight="1" x14ac:dyDescent="0.25">
      <c r="A221" s="1">
        <v>3450</v>
      </c>
      <c r="B221" s="1" t="s">
        <v>234</v>
      </c>
      <c r="C221" s="1" t="s">
        <v>23</v>
      </c>
      <c r="D221" s="3">
        <v>45567</v>
      </c>
      <c r="E221" s="1" t="s">
        <v>15</v>
      </c>
      <c r="F221" s="4">
        <v>10</v>
      </c>
      <c r="G221" s="1" t="s">
        <v>20</v>
      </c>
      <c r="H221" s="1" t="s">
        <v>19</v>
      </c>
      <c r="I221" s="4" t="s">
        <v>21</v>
      </c>
      <c r="J221" s="1" t="s">
        <v>15</v>
      </c>
      <c r="K221" s="4">
        <v>20</v>
      </c>
      <c r="L221" s="4">
        <v>15</v>
      </c>
      <c r="M221" s="4">
        <v>15</v>
      </c>
    </row>
    <row r="222" spans="1:13" ht="16.5" hidden="1" customHeight="1" x14ac:dyDescent="0.25">
      <c r="A222" s="1">
        <v>3451</v>
      </c>
      <c r="B222" s="1" t="s">
        <v>235</v>
      </c>
      <c r="C222" s="1" t="s">
        <v>18</v>
      </c>
      <c r="D222" s="3">
        <v>45568</v>
      </c>
      <c r="E222" s="1" t="s">
        <v>19</v>
      </c>
      <c r="F222" s="4">
        <v>5</v>
      </c>
      <c r="G222" s="1" t="s">
        <v>16</v>
      </c>
      <c r="H222" s="1" t="s">
        <v>19</v>
      </c>
      <c r="I222" s="4" t="s">
        <v>21</v>
      </c>
      <c r="J222" s="1" t="s">
        <v>19</v>
      </c>
      <c r="K222" s="4">
        <v>0</v>
      </c>
      <c r="L222" s="4">
        <v>1</v>
      </c>
      <c r="M222" s="4">
        <v>4</v>
      </c>
    </row>
    <row r="223" spans="1:13" ht="16.5" customHeight="1" x14ac:dyDescent="0.25">
      <c r="A223" s="1">
        <v>3452</v>
      </c>
      <c r="B223" s="1" t="s">
        <v>213</v>
      </c>
      <c r="C223" s="1" t="s">
        <v>14</v>
      </c>
      <c r="D223" s="3">
        <v>45569</v>
      </c>
      <c r="E223" s="1" t="s">
        <v>15</v>
      </c>
      <c r="F223" s="4">
        <v>15</v>
      </c>
      <c r="G223" s="1" t="s">
        <v>24</v>
      </c>
      <c r="H223" s="1" t="s">
        <v>15</v>
      </c>
      <c r="I223" s="4">
        <v>30</v>
      </c>
      <c r="J223" s="1" t="s">
        <v>15</v>
      </c>
      <c r="K223" s="4">
        <v>20</v>
      </c>
      <c r="L223" s="4">
        <v>7</v>
      </c>
      <c r="M223" s="4">
        <v>58</v>
      </c>
    </row>
    <row r="224" spans="1:13" ht="16.5" hidden="1" customHeight="1" x14ac:dyDescent="0.25">
      <c r="A224" s="1">
        <v>3453</v>
      </c>
      <c r="B224" s="1" t="s">
        <v>67</v>
      </c>
      <c r="C224" s="1" t="s">
        <v>23</v>
      </c>
      <c r="D224" s="3">
        <v>45570</v>
      </c>
      <c r="E224" s="1" t="s">
        <v>19</v>
      </c>
      <c r="F224" s="4">
        <v>10</v>
      </c>
      <c r="G224" s="1" t="s">
        <v>16</v>
      </c>
      <c r="H224" s="1" t="s">
        <v>19</v>
      </c>
      <c r="I224" s="4" t="s">
        <v>21</v>
      </c>
      <c r="J224" s="1" t="s">
        <v>15</v>
      </c>
      <c r="K224" s="4">
        <v>20</v>
      </c>
      <c r="L224" s="4">
        <v>10</v>
      </c>
      <c r="M224" s="4">
        <v>20</v>
      </c>
    </row>
    <row r="225" spans="1:13" ht="16.5" hidden="1" customHeight="1" x14ac:dyDescent="0.25">
      <c r="A225" s="1">
        <v>3454</v>
      </c>
      <c r="B225" s="1" t="s">
        <v>236</v>
      </c>
      <c r="C225" s="1" t="s">
        <v>18</v>
      </c>
      <c r="D225" s="3">
        <v>45571</v>
      </c>
      <c r="E225" s="1" t="s">
        <v>15</v>
      </c>
      <c r="F225" s="4">
        <v>5</v>
      </c>
      <c r="G225" s="1" t="s">
        <v>20</v>
      </c>
      <c r="H225" s="1" t="s">
        <v>19</v>
      </c>
      <c r="I225" s="4" t="s">
        <v>21</v>
      </c>
      <c r="J225" s="1" t="s">
        <v>19</v>
      </c>
      <c r="K225" s="4">
        <v>0</v>
      </c>
      <c r="L225" s="4">
        <v>0</v>
      </c>
      <c r="M225" s="4">
        <v>5</v>
      </c>
    </row>
    <row r="226" spans="1:13" ht="16.5" customHeight="1" x14ac:dyDescent="0.25">
      <c r="A226" s="1">
        <v>3455</v>
      </c>
      <c r="B226" s="1" t="s">
        <v>237</v>
      </c>
      <c r="C226" s="1" t="s">
        <v>14</v>
      </c>
      <c r="D226" s="3">
        <v>45572</v>
      </c>
      <c r="E226" s="1" t="s">
        <v>19</v>
      </c>
      <c r="F226" s="4">
        <v>15</v>
      </c>
      <c r="G226" s="1" t="s">
        <v>16</v>
      </c>
      <c r="H226" s="1" t="s">
        <v>15</v>
      </c>
      <c r="I226" s="4">
        <v>30</v>
      </c>
      <c r="J226" s="1" t="s">
        <v>15</v>
      </c>
      <c r="K226" s="4">
        <v>20</v>
      </c>
      <c r="L226" s="4">
        <v>20</v>
      </c>
      <c r="M226" s="4">
        <v>45</v>
      </c>
    </row>
    <row r="227" spans="1:13" ht="16.5" hidden="1" customHeight="1" x14ac:dyDescent="0.25">
      <c r="A227" s="1">
        <v>3456</v>
      </c>
      <c r="B227" s="1" t="s">
        <v>238</v>
      </c>
      <c r="C227" s="1" t="s">
        <v>23</v>
      </c>
      <c r="D227" s="3">
        <v>45573</v>
      </c>
      <c r="E227" s="1" t="s">
        <v>15</v>
      </c>
      <c r="F227" s="4">
        <v>10</v>
      </c>
      <c r="G227" s="1" t="s">
        <v>24</v>
      </c>
      <c r="H227" s="1" t="s">
        <v>19</v>
      </c>
      <c r="I227" s="4" t="s">
        <v>21</v>
      </c>
      <c r="J227" s="1" t="s">
        <v>15</v>
      </c>
      <c r="K227" s="4">
        <v>20</v>
      </c>
      <c r="L227" s="4">
        <v>15</v>
      </c>
      <c r="M227" s="4">
        <v>15</v>
      </c>
    </row>
    <row r="228" spans="1:13" ht="16.5" hidden="1" customHeight="1" x14ac:dyDescent="0.25">
      <c r="A228" s="1">
        <v>3457</v>
      </c>
      <c r="B228" s="1" t="s">
        <v>239</v>
      </c>
      <c r="C228" s="1" t="s">
        <v>18</v>
      </c>
      <c r="D228" s="3">
        <v>45574</v>
      </c>
      <c r="E228" s="1" t="s">
        <v>19</v>
      </c>
      <c r="F228" s="4">
        <v>5</v>
      </c>
      <c r="G228" s="1" t="s">
        <v>16</v>
      </c>
      <c r="H228" s="1" t="s">
        <v>19</v>
      </c>
      <c r="I228" s="4" t="s">
        <v>21</v>
      </c>
      <c r="J228" s="1" t="s">
        <v>19</v>
      </c>
      <c r="K228" s="4">
        <v>0</v>
      </c>
      <c r="L228" s="4">
        <v>1</v>
      </c>
      <c r="M228" s="4">
        <v>4</v>
      </c>
    </row>
    <row r="229" spans="1:13" ht="16.5" customHeight="1" x14ac:dyDescent="0.25">
      <c r="A229" s="1">
        <v>3458</v>
      </c>
      <c r="B229" s="1" t="s">
        <v>240</v>
      </c>
      <c r="C229" s="1" t="s">
        <v>14</v>
      </c>
      <c r="D229" s="3">
        <v>45575</v>
      </c>
      <c r="E229" s="1" t="s">
        <v>15</v>
      </c>
      <c r="F229" s="4">
        <v>15</v>
      </c>
      <c r="G229" s="1" t="s">
        <v>20</v>
      </c>
      <c r="H229" s="1" t="s">
        <v>15</v>
      </c>
      <c r="I229" s="4">
        <v>30</v>
      </c>
      <c r="J229" s="1" t="s">
        <v>15</v>
      </c>
      <c r="K229" s="4">
        <v>20</v>
      </c>
      <c r="L229" s="4">
        <v>3</v>
      </c>
      <c r="M229" s="4">
        <v>62</v>
      </c>
    </row>
    <row r="230" spans="1:13" ht="16.5" hidden="1" customHeight="1" x14ac:dyDescent="0.25">
      <c r="A230" s="1">
        <v>3459</v>
      </c>
      <c r="B230" s="1" t="s">
        <v>241</v>
      </c>
      <c r="C230" s="1" t="s">
        <v>23</v>
      </c>
      <c r="D230" s="3">
        <v>45576</v>
      </c>
      <c r="E230" s="1" t="s">
        <v>19</v>
      </c>
      <c r="F230" s="4">
        <v>10</v>
      </c>
      <c r="G230" s="1" t="s">
        <v>16</v>
      </c>
      <c r="H230" s="1" t="s">
        <v>19</v>
      </c>
      <c r="I230" s="4" t="s">
        <v>21</v>
      </c>
      <c r="J230" s="1" t="s">
        <v>15</v>
      </c>
      <c r="K230" s="4">
        <v>20</v>
      </c>
      <c r="L230" s="4">
        <v>10</v>
      </c>
      <c r="M230" s="4">
        <v>20</v>
      </c>
    </row>
    <row r="231" spans="1:13" ht="16.5" hidden="1" customHeight="1" x14ac:dyDescent="0.25">
      <c r="A231" s="1">
        <v>3460</v>
      </c>
      <c r="B231" s="1" t="s">
        <v>149</v>
      </c>
      <c r="C231" s="1" t="s">
        <v>18</v>
      </c>
      <c r="D231" s="3">
        <v>45577</v>
      </c>
      <c r="E231" s="1" t="s">
        <v>15</v>
      </c>
      <c r="F231" s="4">
        <v>5</v>
      </c>
      <c r="G231" s="1" t="s">
        <v>24</v>
      </c>
      <c r="H231" s="1" t="s">
        <v>19</v>
      </c>
      <c r="I231" s="4" t="s">
        <v>21</v>
      </c>
      <c r="J231" s="1" t="s">
        <v>19</v>
      </c>
      <c r="K231" s="4">
        <v>0</v>
      </c>
      <c r="L231" s="4">
        <v>0</v>
      </c>
      <c r="M231" s="4">
        <v>5</v>
      </c>
    </row>
    <row r="232" spans="1:13" ht="16.5" customHeight="1" x14ac:dyDescent="0.25">
      <c r="A232" s="1">
        <v>3461</v>
      </c>
      <c r="B232" s="1" t="s">
        <v>242</v>
      </c>
      <c r="C232" s="1" t="s">
        <v>14</v>
      </c>
      <c r="D232" s="3">
        <v>45578</v>
      </c>
      <c r="E232" s="1" t="s">
        <v>19</v>
      </c>
      <c r="F232" s="4">
        <v>15</v>
      </c>
      <c r="G232" s="1" t="s">
        <v>16</v>
      </c>
      <c r="H232" s="1" t="s">
        <v>15</v>
      </c>
      <c r="I232" s="4">
        <v>30</v>
      </c>
      <c r="J232" s="1" t="s">
        <v>15</v>
      </c>
      <c r="K232" s="4">
        <v>20</v>
      </c>
      <c r="L232" s="4">
        <v>15</v>
      </c>
      <c r="M232" s="4">
        <v>50</v>
      </c>
    </row>
    <row r="233" spans="1:13" ht="16.5" hidden="1" customHeight="1" x14ac:dyDescent="0.25">
      <c r="A233" s="1">
        <v>3462</v>
      </c>
      <c r="B233" s="1" t="s">
        <v>243</v>
      </c>
      <c r="C233" s="1" t="s">
        <v>23</v>
      </c>
      <c r="D233" s="3">
        <v>45579</v>
      </c>
      <c r="E233" s="1" t="s">
        <v>15</v>
      </c>
      <c r="F233" s="4">
        <v>10</v>
      </c>
      <c r="G233" s="1" t="s">
        <v>20</v>
      </c>
      <c r="H233" s="1" t="s">
        <v>19</v>
      </c>
      <c r="I233" s="4" t="s">
        <v>21</v>
      </c>
      <c r="J233" s="1" t="s">
        <v>15</v>
      </c>
      <c r="K233" s="4">
        <v>20</v>
      </c>
      <c r="L233" s="4">
        <v>15</v>
      </c>
      <c r="M233" s="4">
        <v>15</v>
      </c>
    </row>
    <row r="234" spans="1:13" ht="16.5" hidden="1" customHeight="1" x14ac:dyDescent="0.25">
      <c r="A234" s="1">
        <v>3463</v>
      </c>
      <c r="B234" s="1" t="s">
        <v>244</v>
      </c>
      <c r="C234" s="1" t="s">
        <v>18</v>
      </c>
      <c r="D234" s="3">
        <v>45580</v>
      </c>
      <c r="E234" s="1" t="s">
        <v>19</v>
      </c>
      <c r="F234" s="4">
        <v>5</v>
      </c>
      <c r="G234" s="1" t="s">
        <v>16</v>
      </c>
      <c r="H234" s="1" t="s">
        <v>19</v>
      </c>
      <c r="I234" s="4" t="s">
        <v>21</v>
      </c>
      <c r="J234" s="1" t="s">
        <v>19</v>
      </c>
      <c r="K234" s="4">
        <v>0</v>
      </c>
      <c r="L234" s="4">
        <v>1</v>
      </c>
      <c r="M234" s="4">
        <v>4</v>
      </c>
    </row>
    <row r="235" spans="1:13" ht="16.5" customHeight="1" x14ac:dyDescent="0.25">
      <c r="A235" s="1">
        <v>3464</v>
      </c>
      <c r="B235" s="1" t="s">
        <v>245</v>
      </c>
      <c r="C235" s="1" t="s">
        <v>14</v>
      </c>
      <c r="D235" s="3">
        <v>45581</v>
      </c>
      <c r="E235" s="1" t="s">
        <v>15</v>
      </c>
      <c r="F235" s="4">
        <v>15</v>
      </c>
      <c r="G235" s="1" t="s">
        <v>24</v>
      </c>
      <c r="H235" s="1" t="s">
        <v>15</v>
      </c>
      <c r="I235" s="4">
        <v>30</v>
      </c>
      <c r="J235" s="1" t="s">
        <v>15</v>
      </c>
      <c r="K235" s="4">
        <v>20</v>
      </c>
      <c r="L235" s="4">
        <v>7</v>
      </c>
      <c r="M235" s="4">
        <v>58</v>
      </c>
    </row>
    <row r="236" spans="1:13" ht="16.5" hidden="1" customHeight="1" x14ac:dyDescent="0.25">
      <c r="A236" s="1">
        <v>3465</v>
      </c>
      <c r="B236" s="1" t="s">
        <v>246</v>
      </c>
      <c r="C236" s="1" t="s">
        <v>23</v>
      </c>
      <c r="D236" s="3">
        <v>45582</v>
      </c>
      <c r="E236" s="1" t="s">
        <v>19</v>
      </c>
      <c r="F236" s="4">
        <v>10</v>
      </c>
      <c r="G236" s="1" t="s">
        <v>16</v>
      </c>
      <c r="H236" s="1" t="s">
        <v>19</v>
      </c>
      <c r="I236" s="4" t="s">
        <v>21</v>
      </c>
      <c r="J236" s="1" t="s">
        <v>15</v>
      </c>
      <c r="K236" s="4">
        <v>20</v>
      </c>
      <c r="L236" s="4">
        <v>10</v>
      </c>
      <c r="M236" s="4">
        <v>20</v>
      </c>
    </row>
    <row r="237" spans="1:13" ht="16.5" hidden="1" customHeight="1" x14ac:dyDescent="0.25">
      <c r="A237" s="1">
        <v>3466</v>
      </c>
      <c r="B237" s="1" t="s">
        <v>247</v>
      </c>
      <c r="C237" s="1" t="s">
        <v>18</v>
      </c>
      <c r="D237" s="3">
        <v>45583</v>
      </c>
      <c r="E237" s="1" t="s">
        <v>15</v>
      </c>
      <c r="F237" s="4">
        <v>5</v>
      </c>
      <c r="G237" s="1" t="s">
        <v>20</v>
      </c>
      <c r="H237" s="1" t="s">
        <v>19</v>
      </c>
      <c r="I237" s="4" t="s">
        <v>21</v>
      </c>
      <c r="J237" s="1" t="s">
        <v>19</v>
      </c>
      <c r="K237" s="4">
        <v>0</v>
      </c>
      <c r="L237" s="4">
        <v>0</v>
      </c>
      <c r="M237" s="4">
        <v>5</v>
      </c>
    </row>
    <row r="238" spans="1:13" ht="16.5" customHeight="1" x14ac:dyDescent="0.25">
      <c r="A238" s="1">
        <v>3467</v>
      </c>
      <c r="B238" s="1" t="s">
        <v>248</v>
      </c>
      <c r="C238" s="1" t="s">
        <v>14</v>
      </c>
      <c r="D238" s="3">
        <v>45584</v>
      </c>
      <c r="E238" s="1" t="s">
        <v>19</v>
      </c>
      <c r="F238" s="4">
        <v>15</v>
      </c>
      <c r="G238" s="1" t="s">
        <v>16</v>
      </c>
      <c r="H238" s="1" t="s">
        <v>15</v>
      </c>
      <c r="I238" s="4">
        <v>30</v>
      </c>
      <c r="J238" s="1" t="s">
        <v>15</v>
      </c>
      <c r="K238" s="4">
        <v>20</v>
      </c>
      <c r="L238" s="4">
        <v>15</v>
      </c>
      <c r="M238" s="4">
        <v>50</v>
      </c>
    </row>
    <row r="239" spans="1:13" ht="16.5" hidden="1" customHeight="1" x14ac:dyDescent="0.25">
      <c r="A239" s="1">
        <v>3468</v>
      </c>
      <c r="B239" s="1" t="s">
        <v>249</v>
      </c>
      <c r="C239" s="1" t="s">
        <v>23</v>
      </c>
      <c r="D239" s="3">
        <v>45585</v>
      </c>
      <c r="E239" s="1" t="s">
        <v>15</v>
      </c>
      <c r="F239" s="4">
        <v>10</v>
      </c>
      <c r="G239" s="1" t="s">
        <v>24</v>
      </c>
      <c r="H239" s="1" t="s">
        <v>19</v>
      </c>
      <c r="I239" s="4" t="s">
        <v>21</v>
      </c>
      <c r="J239" s="1" t="s">
        <v>15</v>
      </c>
      <c r="K239" s="4">
        <v>20</v>
      </c>
      <c r="L239" s="4">
        <v>12</v>
      </c>
      <c r="M239" s="4">
        <v>18</v>
      </c>
    </row>
    <row r="240" spans="1:13" ht="16.5" hidden="1" customHeight="1" x14ac:dyDescent="0.25">
      <c r="A240" s="1">
        <v>3469</v>
      </c>
      <c r="B240" s="1" t="s">
        <v>250</v>
      </c>
      <c r="C240" s="1" t="s">
        <v>18</v>
      </c>
      <c r="D240" s="3">
        <v>45586</v>
      </c>
      <c r="E240" s="1" t="s">
        <v>19</v>
      </c>
      <c r="F240" s="4">
        <v>5</v>
      </c>
      <c r="G240" s="1" t="s">
        <v>16</v>
      </c>
      <c r="H240" s="1" t="s">
        <v>19</v>
      </c>
      <c r="I240" s="4" t="s">
        <v>21</v>
      </c>
      <c r="J240" s="1" t="s">
        <v>19</v>
      </c>
      <c r="K240" s="4">
        <v>0</v>
      </c>
      <c r="L240" s="4">
        <v>2</v>
      </c>
      <c r="M240" s="4">
        <v>3</v>
      </c>
    </row>
    <row r="241" spans="1:13" ht="16.5" customHeight="1" x14ac:dyDescent="0.25">
      <c r="A241" s="1">
        <v>3470</v>
      </c>
      <c r="B241" s="1" t="s">
        <v>251</v>
      </c>
      <c r="C241" s="1" t="s">
        <v>14</v>
      </c>
      <c r="D241" s="3">
        <v>45587</v>
      </c>
      <c r="E241" s="1" t="s">
        <v>15</v>
      </c>
      <c r="F241" s="4">
        <v>15</v>
      </c>
      <c r="G241" s="1" t="s">
        <v>20</v>
      </c>
      <c r="H241" s="1" t="s">
        <v>15</v>
      </c>
      <c r="I241" s="4">
        <v>30</v>
      </c>
      <c r="J241" s="1" t="s">
        <v>15</v>
      </c>
      <c r="K241" s="4">
        <v>20</v>
      </c>
      <c r="L241" s="4">
        <v>5</v>
      </c>
      <c r="M241" s="4">
        <v>60</v>
      </c>
    </row>
    <row r="242" spans="1:13" ht="16.5" hidden="1" customHeight="1" x14ac:dyDescent="0.25">
      <c r="A242" s="1">
        <v>3471</v>
      </c>
      <c r="B242" s="1" t="s">
        <v>252</v>
      </c>
      <c r="C242" s="1" t="s">
        <v>23</v>
      </c>
      <c r="D242" s="3">
        <v>45588</v>
      </c>
      <c r="E242" s="1" t="s">
        <v>19</v>
      </c>
      <c r="F242" s="4">
        <v>10</v>
      </c>
      <c r="G242" s="1" t="s">
        <v>16</v>
      </c>
      <c r="H242" s="1" t="s">
        <v>19</v>
      </c>
      <c r="I242" s="4" t="s">
        <v>21</v>
      </c>
      <c r="J242" s="1" t="s">
        <v>15</v>
      </c>
      <c r="K242" s="4">
        <v>20</v>
      </c>
      <c r="L242" s="4">
        <v>10</v>
      </c>
      <c r="M242" s="4">
        <v>20</v>
      </c>
    </row>
    <row r="243" spans="1:13" ht="16.5" hidden="1" customHeight="1" x14ac:dyDescent="0.25">
      <c r="A243" s="1">
        <v>3472</v>
      </c>
      <c r="B243" s="1" t="s">
        <v>253</v>
      </c>
      <c r="C243" s="1" t="s">
        <v>18</v>
      </c>
      <c r="D243" s="3">
        <v>45589</v>
      </c>
      <c r="E243" s="1" t="s">
        <v>15</v>
      </c>
      <c r="F243" s="4">
        <v>5</v>
      </c>
      <c r="G243" s="1" t="s">
        <v>24</v>
      </c>
      <c r="H243" s="1" t="s">
        <v>19</v>
      </c>
      <c r="I243" s="4" t="s">
        <v>21</v>
      </c>
      <c r="J243" s="1" t="s">
        <v>19</v>
      </c>
      <c r="K243" s="4">
        <v>0</v>
      </c>
      <c r="L243" s="4">
        <v>0</v>
      </c>
      <c r="M243" s="4">
        <v>5</v>
      </c>
    </row>
    <row r="244" spans="1:13" ht="16.5" customHeight="1" x14ac:dyDescent="0.25">
      <c r="A244" s="1">
        <v>3473</v>
      </c>
      <c r="B244" s="1" t="s">
        <v>162</v>
      </c>
      <c r="C244" s="1" t="s">
        <v>14</v>
      </c>
      <c r="D244" s="3">
        <v>45590</v>
      </c>
      <c r="E244" s="1" t="s">
        <v>19</v>
      </c>
      <c r="F244" s="4">
        <v>15</v>
      </c>
      <c r="G244" s="1" t="s">
        <v>16</v>
      </c>
      <c r="H244" s="1" t="s">
        <v>15</v>
      </c>
      <c r="I244" s="4">
        <v>30</v>
      </c>
      <c r="J244" s="1" t="s">
        <v>15</v>
      </c>
      <c r="K244" s="4">
        <v>20</v>
      </c>
      <c r="L244" s="4">
        <v>3</v>
      </c>
      <c r="M244" s="4">
        <v>62</v>
      </c>
    </row>
    <row r="245" spans="1:13" ht="16.5" hidden="1" customHeight="1" x14ac:dyDescent="0.25">
      <c r="A245" s="1">
        <v>3474</v>
      </c>
      <c r="B245" s="1" t="s">
        <v>254</v>
      </c>
      <c r="C245" s="1" t="s">
        <v>23</v>
      </c>
      <c r="D245" s="3">
        <v>45591</v>
      </c>
      <c r="E245" s="1" t="s">
        <v>15</v>
      </c>
      <c r="F245" s="4">
        <v>10</v>
      </c>
      <c r="G245" s="1" t="s">
        <v>20</v>
      </c>
      <c r="H245" s="1" t="s">
        <v>19</v>
      </c>
      <c r="I245" s="4" t="s">
        <v>21</v>
      </c>
      <c r="J245" s="1" t="s">
        <v>15</v>
      </c>
      <c r="K245" s="4">
        <v>20</v>
      </c>
      <c r="L245" s="4">
        <v>15</v>
      </c>
      <c r="M245" s="4">
        <v>15</v>
      </c>
    </row>
    <row r="246" spans="1:13" ht="16.5" hidden="1" customHeight="1" x14ac:dyDescent="0.25">
      <c r="A246" s="1">
        <v>3475</v>
      </c>
      <c r="B246" s="1" t="s">
        <v>255</v>
      </c>
      <c r="C246" s="1" t="s">
        <v>18</v>
      </c>
      <c r="D246" s="3">
        <v>45592</v>
      </c>
      <c r="E246" s="1" t="s">
        <v>19</v>
      </c>
      <c r="F246" s="4">
        <v>5</v>
      </c>
      <c r="G246" s="1" t="s">
        <v>16</v>
      </c>
      <c r="H246" s="1" t="s">
        <v>19</v>
      </c>
      <c r="I246" s="4" t="s">
        <v>21</v>
      </c>
      <c r="J246" s="1" t="s">
        <v>19</v>
      </c>
      <c r="K246" s="4">
        <v>0</v>
      </c>
      <c r="L246" s="4">
        <v>1</v>
      </c>
      <c r="M246" s="4">
        <v>4</v>
      </c>
    </row>
    <row r="247" spans="1:13" ht="16.5" customHeight="1" x14ac:dyDescent="0.25">
      <c r="A247" s="1">
        <v>3476</v>
      </c>
      <c r="B247" s="1" t="s">
        <v>256</v>
      </c>
      <c r="C247" s="1" t="s">
        <v>14</v>
      </c>
      <c r="D247" s="3">
        <v>45593</v>
      </c>
      <c r="E247" s="1" t="s">
        <v>15</v>
      </c>
      <c r="F247" s="4">
        <v>15</v>
      </c>
      <c r="G247" s="1" t="s">
        <v>24</v>
      </c>
      <c r="H247" s="1" t="s">
        <v>15</v>
      </c>
      <c r="I247" s="4">
        <v>30</v>
      </c>
      <c r="J247" s="1" t="s">
        <v>15</v>
      </c>
      <c r="K247" s="4">
        <v>20</v>
      </c>
      <c r="L247" s="4">
        <v>7</v>
      </c>
      <c r="M247" s="4">
        <v>58</v>
      </c>
    </row>
    <row r="248" spans="1:13" ht="16.5" hidden="1" customHeight="1" x14ac:dyDescent="0.25">
      <c r="A248" s="1">
        <v>3477</v>
      </c>
      <c r="B248" s="1" t="s">
        <v>257</v>
      </c>
      <c r="C248" s="1" t="s">
        <v>23</v>
      </c>
      <c r="D248" s="3">
        <v>45594</v>
      </c>
      <c r="E248" s="1" t="s">
        <v>19</v>
      </c>
      <c r="F248" s="4">
        <v>10</v>
      </c>
      <c r="G248" s="1" t="s">
        <v>16</v>
      </c>
      <c r="H248" s="1" t="s">
        <v>19</v>
      </c>
      <c r="I248" s="4" t="s">
        <v>21</v>
      </c>
      <c r="J248" s="1" t="s">
        <v>15</v>
      </c>
      <c r="K248" s="4">
        <v>20</v>
      </c>
      <c r="L248" s="4">
        <v>10</v>
      </c>
      <c r="M248" s="4">
        <v>20</v>
      </c>
    </row>
    <row r="249" spans="1:13" ht="16.5" hidden="1" customHeight="1" x14ac:dyDescent="0.25">
      <c r="A249" s="1">
        <v>3478</v>
      </c>
      <c r="B249" s="1" t="s">
        <v>258</v>
      </c>
      <c r="C249" s="1" t="s">
        <v>18</v>
      </c>
      <c r="D249" s="3">
        <v>45595</v>
      </c>
      <c r="E249" s="1" t="s">
        <v>15</v>
      </c>
      <c r="F249" s="4">
        <v>5</v>
      </c>
      <c r="G249" s="1" t="s">
        <v>20</v>
      </c>
      <c r="H249" s="1" t="s">
        <v>19</v>
      </c>
      <c r="I249" s="4" t="s">
        <v>21</v>
      </c>
      <c r="J249" s="1" t="s">
        <v>19</v>
      </c>
      <c r="K249" s="4">
        <v>0</v>
      </c>
      <c r="L249" s="4">
        <v>0</v>
      </c>
      <c r="M249" s="4">
        <v>5</v>
      </c>
    </row>
    <row r="250" spans="1:13" ht="16.5" customHeight="1" x14ac:dyDescent="0.25">
      <c r="A250" s="1">
        <v>3479</v>
      </c>
      <c r="B250" s="1" t="s">
        <v>259</v>
      </c>
      <c r="C250" s="1" t="s">
        <v>14</v>
      </c>
      <c r="D250" s="3">
        <v>45596</v>
      </c>
      <c r="E250" s="1" t="s">
        <v>19</v>
      </c>
      <c r="F250" s="4">
        <v>15</v>
      </c>
      <c r="G250" s="1" t="s">
        <v>16</v>
      </c>
      <c r="H250" s="1" t="s">
        <v>15</v>
      </c>
      <c r="I250" s="4">
        <v>30</v>
      </c>
      <c r="J250" s="1" t="s">
        <v>15</v>
      </c>
      <c r="K250" s="4">
        <v>20</v>
      </c>
      <c r="L250" s="4">
        <v>20</v>
      </c>
      <c r="M250" s="4">
        <v>45</v>
      </c>
    </row>
    <row r="251" spans="1:13" ht="16.5" hidden="1" customHeight="1" x14ac:dyDescent="0.25">
      <c r="A251" s="1">
        <v>3480</v>
      </c>
      <c r="B251" s="1" t="s">
        <v>260</v>
      </c>
      <c r="C251" s="1" t="s">
        <v>23</v>
      </c>
      <c r="D251" s="3">
        <v>45597</v>
      </c>
      <c r="E251" s="1" t="s">
        <v>15</v>
      </c>
      <c r="F251" s="4">
        <v>10</v>
      </c>
      <c r="G251" s="1" t="s">
        <v>24</v>
      </c>
      <c r="H251" s="1" t="s">
        <v>19</v>
      </c>
      <c r="I251" s="4" t="s">
        <v>21</v>
      </c>
      <c r="J251" s="1" t="s">
        <v>15</v>
      </c>
      <c r="K251" s="4">
        <v>20</v>
      </c>
      <c r="L251" s="4">
        <v>15</v>
      </c>
      <c r="M251" s="4">
        <v>15</v>
      </c>
    </row>
    <row r="252" spans="1:13" ht="16.5" hidden="1" customHeight="1" x14ac:dyDescent="0.25">
      <c r="A252" s="1">
        <v>3481</v>
      </c>
      <c r="B252" s="1" t="s">
        <v>261</v>
      </c>
      <c r="C252" s="1" t="s">
        <v>18</v>
      </c>
      <c r="D252" s="3">
        <v>45598</v>
      </c>
      <c r="E252" s="1" t="s">
        <v>19</v>
      </c>
      <c r="F252" s="4">
        <v>5</v>
      </c>
      <c r="G252" s="1" t="s">
        <v>16</v>
      </c>
      <c r="H252" s="1" t="s">
        <v>19</v>
      </c>
      <c r="I252" s="4" t="s">
        <v>21</v>
      </c>
      <c r="J252" s="1" t="s">
        <v>19</v>
      </c>
      <c r="K252" s="4">
        <v>0</v>
      </c>
      <c r="L252" s="4">
        <v>1</v>
      </c>
      <c r="M252" s="4">
        <v>4</v>
      </c>
    </row>
    <row r="253" spans="1:13" ht="16.5" customHeight="1" x14ac:dyDescent="0.25">
      <c r="A253" s="1">
        <v>3482</v>
      </c>
      <c r="B253" s="1" t="s">
        <v>262</v>
      </c>
      <c r="C253" s="1" t="s">
        <v>14</v>
      </c>
      <c r="D253" s="3">
        <v>45599</v>
      </c>
      <c r="E253" s="1" t="s">
        <v>15</v>
      </c>
      <c r="F253" s="4">
        <v>15</v>
      </c>
      <c r="G253" s="1" t="s">
        <v>20</v>
      </c>
      <c r="H253" s="1" t="s">
        <v>15</v>
      </c>
      <c r="I253" s="4">
        <v>30</v>
      </c>
      <c r="J253" s="1" t="s">
        <v>15</v>
      </c>
      <c r="K253" s="4">
        <v>20</v>
      </c>
      <c r="L253" s="4">
        <v>3</v>
      </c>
      <c r="M253" s="4">
        <v>62</v>
      </c>
    </row>
    <row r="254" spans="1:13" ht="16.5" hidden="1" customHeight="1" x14ac:dyDescent="0.25">
      <c r="A254" s="1">
        <v>3483</v>
      </c>
      <c r="B254" s="1" t="s">
        <v>263</v>
      </c>
      <c r="C254" s="1" t="s">
        <v>23</v>
      </c>
      <c r="D254" s="3">
        <v>45600</v>
      </c>
      <c r="E254" s="1" t="s">
        <v>19</v>
      </c>
      <c r="F254" s="4">
        <v>10</v>
      </c>
      <c r="G254" s="1" t="s">
        <v>16</v>
      </c>
      <c r="H254" s="1" t="s">
        <v>19</v>
      </c>
      <c r="I254" s="4" t="s">
        <v>21</v>
      </c>
      <c r="J254" s="1" t="s">
        <v>15</v>
      </c>
      <c r="K254" s="4">
        <v>20</v>
      </c>
      <c r="L254" s="4">
        <v>10</v>
      </c>
      <c r="M254" s="4">
        <v>20</v>
      </c>
    </row>
    <row r="255" spans="1:13" ht="16.5" hidden="1" customHeight="1" x14ac:dyDescent="0.25">
      <c r="A255" s="1">
        <v>3484</v>
      </c>
      <c r="B255" s="1" t="s">
        <v>264</v>
      </c>
      <c r="C255" s="1" t="s">
        <v>18</v>
      </c>
      <c r="D255" s="3">
        <v>45601</v>
      </c>
      <c r="E255" s="1" t="s">
        <v>15</v>
      </c>
      <c r="F255" s="4">
        <v>5</v>
      </c>
      <c r="G255" s="1" t="s">
        <v>24</v>
      </c>
      <c r="H255" s="1" t="s">
        <v>19</v>
      </c>
      <c r="I255" s="4" t="s">
        <v>21</v>
      </c>
      <c r="J255" s="1" t="s">
        <v>19</v>
      </c>
      <c r="K255" s="4">
        <v>0</v>
      </c>
      <c r="L255" s="4">
        <v>0</v>
      </c>
      <c r="M255" s="4">
        <v>5</v>
      </c>
    </row>
    <row r="256" spans="1:13" ht="16.5" customHeight="1" x14ac:dyDescent="0.25">
      <c r="A256" s="1">
        <v>3485</v>
      </c>
      <c r="B256" s="1" t="s">
        <v>265</v>
      </c>
      <c r="C256" s="1" t="s">
        <v>14</v>
      </c>
      <c r="D256" s="3">
        <v>45602</v>
      </c>
      <c r="E256" s="1" t="s">
        <v>19</v>
      </c>
      <c r="F256" s="4">
        <v>15</v>
      </c>
      <c r="G256" s="1" t="s">
        <v>16</v>
      </c>
      <c r="H256" s="1" t="s">
        <v>15</v>
      </c>
      <c r="I256" s="4">
        <v>30</v>
      </c>
      <c r="J256" s="1" t="s">
        <v>15</v>
      </c>
      <c r="K256" s="4">
        <v>20</v>
      </c>
      <c r="L256" s="4">
        <v>15</v>
      </c>
      <c r="M256" s="4">
        <v>50</v>
      </c>
    </row>
    <row r="257" spans="1:13" ht="16.5" hidden="1" customHeight="1" x14ac:dyDescent="0.25">
      <c r="A257" s="1">
        <v>3486</v>
      </c>
      <c r="B257" s="1" t="s">
        <v>266</v>
      </c>
      <c r="C257" s="1" t="s">
        <v>18</v>
      </c>
      <c r="D257" s="3">
        <v>45603</v>
      </c>
      <c r="E257" s="1" t="s">
        <v>15</v>
      </c>
      <c r="F257" s="4">
        <v>5</v>
      </c>
      <c r="G257" s="1" t="s">
        <v>16</v>
      </c>
      <c r="H257" s="1" t="s">
        <v>19</v>
      </c>
      <c r="I257" s="4" t="s">
        <v>21</v>
      </c>
      <c r="J257" s="1" t="s">
        <v>19</v>
      </c>
      <c r="K257" s="4">
        <v>0</v>
      </c>
      <c r="L257" s="4">
        <v>0</v>
      </c>
      <c r="M257" s="4">
        <v>5</v>
      </c>
    </row>
    <row r="258" spans="1:13" ht="16.5" customHeight="1" x14ac:dyDescent="0.25">
      <c r="A258" s="1">
        <v>3487</v>
      </c>
      <c r="B258" s="1" t="s">
        <v>267</v>
      </c>
      <c r="C258" s="1" t="s">
        <v>14</v>
      </c>
      <c r="D258" s="3">
        <v>45604</v>
      </c>
      <c r="E258" s="1" t="s">
        <v>19</v>
      </c>
      <c r="F258" s="4">
        <v>15</v>
      </c>
      <c r="G258" s="1" t="s">
        <v>24</v>
      </c>
      <c r="H258" s="1" t="s">
        <v>15</v>
      </c>
      <c r="I258" s="4">
        <v>30</v>
      </c>
      <c r="J258" s="1" t="s">
        <v>15</v>
      </c>
      <c r="K258" s="4">
        <v>20</v>
      </c>
      <c r="L258" s="4">
        <v>7</v>
      </c>
      <c r="M258" s="4">
        <v>58</v>
      </c>
    </row>
    <row r="259" spans="1:13" ht="16.5" hidden="1" customHeight="1" x14ac:dyDescent="0.25">
      <c r="A259" s="1">
        <v>3488</v>
      </c>
      <c r="B259" s="1" t="s">
        <v>268</v>
      </c>
      <c r="C259" s="1" t="s">
        <v>23</v>
      </c>
      <c r="D259" s="3">
        <v>45605</v>
      </c>
      <c r="E259" s="1" t="s">
        <v>15</v>
      </c>
      <c r="F259" s="4">
        <v>10</v>
      </c>
      <c r="G259" s="1" t="s">
        <v>20</v>
      </c>
      <c r="H259" s="1" t="s">
        <v>19</v>
      </c>
      <c r="I259" s="4" t="s">
        <v>21</v>
      </c>
      <c r="J259" s="1" t="s">
        <v>15</v>
      </c>
      <c r="K259" s="4">
        <v>20</v>
      </c>
      <c r="L259" s="4">
        <v>10</v>
      </c>
      <c r="M259" s="4">
        <v>20</v>
      </c>
    </row>
    <row r="260" spans="1:13" ht="16.5" hidden="1" customHeight="1" x14ac:dyDescent="0.25">
      <c r="A260" s="1">
        <v>3489</v>
      </c>
      <c r="B260" s="1" t="s">
        <v>269</v>
      </c>
      <c r="C260" s="1" t="s">
        <v>18</v>
      </c>
      <c r="D260" s="3">
        <v>45606</v>
      </c>
      <c r="E260" s="1" t="s">
        <v>19</v>
      </c>
      <c r="F260" s="4">
        <v>5</v>
      </c>
      <c r="G260" s="1" t="s">
        <v>24</v>
      </c>
      <c r="H260" s="1" t="s">
        <v>19</v>
      </c>
      <c r="I260" s="4" t="s">
        <v>21</v>
      </c>
      <c r="J260" s="1" t="s">
        <v>19</v>
      </c>
      <c r="K260" s="4">
        <v>0</v>
      </c>
      <c r="L260" s="4">
        <v>1</v>
      </c>
      <c r="M260" s="4">
        <v>4</v>
      </c>
    </row>
    <row r="261" spans="1:13" ht="16.5" customHeight="1" x14ac:dyDescent="0.25">
      <c r="A261" s="1">
        <v>3490</v>
      </c>
      <c r="B261" s="1" t="s">
        <v>270</v>
      </c>
      <c r="C261" s="1" t="s">
        <v>14</v>
      </c>
      <c r="D261" s="3">
        <v>45607</v>
      </c>
      <c r="E261" s="1" t="s">
        <v>15</v>
      </c>
      <c r="F261" s="4">
        <v>15</v>
      </c>
      <c r="G261" s="1" t="s">
        <v>16</v>
      </c>
      <c r="H261" s="1" t="s">
        <v>15</v>
      </c>
      <c r="I261" s="4">
        <v>30</v>
      </c>
      <c r="J261" s="1" t="s">
        <v>15</v>
      </c>
      <c r="K261" s="4">
        <v>20</v>
      </c>
      <c r="L261" s="4">
        <v>15</v>
      </c>
      <c r="M261" s="4">
        <v>50</v>
      </c>
    </row>
    <row r="262" spans="1:13" ht="16.5" hidden="1" customHeight="1" x14ac:dyDescent="0.25">
      <c r="A262" s="1">
        <v>3491</v>
      </c>
      <c r="B262" s="1" t="s">
        <v>271</v>
      </c>
      <c r="C262" s="1" t="s">
        <v>23</v>
      </c>
      <c r="D262" s="3">
        <v>45608</v>
      </c>
      <c r="E262" s="1" t="s">
        <v>19</v>
      </c>
      <c r="F262" s="4">
        <v>10</v>
      </c>
      <c r="G262" s="1" t="s">
        <v>16</v>
      </c>
      <c r="H262" s="1" t="s">
        <v>19</v>
      </c>
      <c r="I262" s="4" t="s">
        <v>21</v>
      </c>
      <c r="J262" s="1" t="s">
        <v>15</v>
      </c>
      <c r="K262" s="4">
        <v>20</v>
      </c>
      <c r="L262" s="4">
        <v>5</v>
      </c>
      <c r="M262" s="4">
        <v>25</v>
      </c>
    </row>
    <row r="263" spans="1:13" ht="16.5" hidden="1" customHeight="1" x14ac:dyDescent="0.25">
      <c r="A263" s="1">
        <v>3492</v>
      </c>
      <c r="B263" s="1" t="s">
        <v>272</v>
      </c>
      <c r="C263" s="1" t="s">
        <v>18</v>
      </c>
      <c r="D263" s="3">
        <v>45609</v>
      </c>
      <c r="E263" s="1" t="s">
        <v>15</v>
      </c>
      <c r="F263" s="4">
        <v>5</v>
      </c>
      <c r="G263" s="1" t="s">
        <v>20</v>
      </c>
      <c r="H263" s="1" t="s">
        <v>19</v>
      </c>
      <c r="I263" s="4" t="s">
        <v>21</v>
      </c>
      <c r="J263" s="1" t="s">
        <v>19</v>
      </c>
      <c r="K263" s="4">
        <v>0</v>
      </c>
      <c r="L263" s="4">
        <v>0</v>
      </c>
      <c r="M263" s="4">
        <v>5</v>
      </c>
    </row>
    <row r="264" spans="1:13" ht="16.5" customHeight="1" x14ac:dyDescent="0.25">
      <c r="A264" s="1">
        <v>3493</v>
      </c>
      <c r="B264" s="1" t="s">
        <v>273</v>
      </c>
      <c r="C264" s="1" t="s">
        <v>14</v>
      </c>
      <c r="D264" s="3">
        <v>45610</v>
      </c>
      <c r="E264" s="1" t="s">
        <v>19</v>
      </c>
      <c r="F264" s="4">
        <v>15</v>
      </c>
      <c r="G264" s="1" t="s">
        <v>24</v>
      </c>
      <c r="H264" s="1" t="s">
        <v>15</v>
      </c>
      <c r="I264" s="4">
        <v>30</v>
      </c>
      <c r="J264" s="1" t="s">
        <v>15</v>
      </c>
      <c r="K264" s="4">
        <v>20</v>
      </c>
      <c r="L264" s="4">
        <v>20</v>
      </c>
      <c r="M264" s="4">
        <v>45</v>
      </c>
    </row>
    <row r="265" spans="1:13" ht="16.5" hidden="1" customHeight="1" x14ac:dyDescent="0.25">
      <c r="A265" s="1">
        <v>3494</v>
      </c>
      <c r="B265" s="1" t="s">
        <v>274</v>
      </c>
      <c r="C265" s="1" t="s">
        <v>23</v>
      </c>
      <c r="D265" s="3">
        <v>45611</v>
      </c>
      <c r="E265" s="1" t="s">
        <v>15</v>
      </c>
      <c r="F265" s="4">
        <v>10</v>
      </c>
      <c r="G265" s="1" t="s">
        <v>24</v>
      </c>
      <c r="H265" s="1" t="s">
        <v>19</v>
      </c>
      <c r="I265" s="4" t="s">
        <v>21</v>
      </c>
      <c r="J265" s="1" t="s">
        <v>15</v>
      </c>
      <c r="K265" s="4">
        <v>20</v>
      </c>
      <c r="L265" s="4">
        <v>12</v>
      </c>
      <c r="M265" s="4">
        <v>18</v>
      </c>
    </row>
    <row r="266" spans="1:13" ht="16.5" hidden="1" customHeight="1" x14ac:dyDescent="0.25">
      <c r="A266" s="1">
        <v>3495</v>
      </c>
      <c r="B266" s="1" t="s">
        <v>275</v>
      </c>
      <c r="C266" s="1" t="s">
        <v>18</v>
      </c>
      <c r="D266" s="3">
        <v>45612</v>
      </c>
      <c r="E266" s="1" t="s">
        <v>19</v>
      </c>
      <c r="F266" s="4">
        <v>5</v>
      </c>
      <c r="G266" s="1" t="s">
        <v>16</v>
      </c>
      <c r="H266" s="1" t="s">
        <v>19</v>
      </c>
      <c r="I266" s="4" t="s">
        <v>21</v>
      </c>
      <c r="J266" s="1" t="s">
        <v>19</v>
      </c>
      <c r="K266" s="4">
        <v>0</v>
      </c>
      <c r="L266" s="4">
        <v>2</v>
      </c>
      <c r="M266" s="4">
        <v>3</v>
      </c>
    </row>
    <row r="267" spans="1:13" ht="16.5" customHeight="1" x14ac:dyDescent="0.25">
      <c r="A267" s="1">
        <v>3496</v>
      </c>
      <c r="B267" s="1" t="s">
        <v>276</v>
      </c>
      <c r="C267" s="1" t="s">
        <v>14</v>
      </c>
      <c r="D267" s="3">
        <v>45613</v>
      </c>
      <c r="E267" s="1" t="s">
        <v>15</v>
      </c>
      <c r="F267" s="4">
        <v>15</v>
      </c>
      <c r="G267" s="1" t="s">
        <v>20</v>
      </c>
      <c r="H267" s="1" t="s">
        <v>15</v>
      </c>
      <c r="I267" s="4">
        <v>30</v>
      </c>
      <c r="J267" s="1" t="s">
        <v>15</v>
      </c>
      <c r="K267" s="4">
        <v>20</v>
      </c>
      <c r="L267" s="4">
        <v>5</v>
      </c>
      <c r="M267" s="4">
        <v>60</v>
      </c>
    </row>
    <row r="268" spans="1:13" ht="16.5" hidden="1" customHeight="1" x14ac:dyDescent="0.25">
      <c r="A268" s="1">
        <v>3497</v>
      </c>
      <c r="B268" s="1" t="s">
        <v>277</v>
      </c>
      <c r="C268" s="1" t="s">
        <v>23</v>
      </c>
      <c r="D268" s="3">
        <v>45614</v>
      </c>
      <c r="E268" s="1" t="s">
        <v>19</v>
      </c>
      <c r="F268" s="4">
        <v>10</v>
      </c>
      <c r="G268" s="1" t="s">
        <v>16</v>
      </c>
      <c r="H268" s="1" t="s">
        <v>19</v>
      </c>
      <c r="I268" s="4" t="s">
        <v>21</v>
      </c>
      <c r="J268" s="1" t="s">
        <v>15</v>
      </c>
      <c r="K268" s="4">
        <v>20</v>
      </c>
      <c r="L268" s="4">
        <v>10</v>
      </c>
      <c r="M268" s="4">
        <v>20</v>
      </c>
    </row>
    <row r="269" spans="1:13" ht="16.5" hidden="1" customHeight="1" x14ac:dyDescent="0.25">
      <c r="A269" s="1">
        <v>3498</v>
      </c>
      <c r="B269" s="1" t="s">
        <v>278</v>
      </c>
      <c r="C269" s="1" t="s">
        <v>18</v>
      </c>
      <c r="D269" s="3">
        <v>45615</v>
      </c>
      <c r="E269" s="1" t="s">
        <v>15</v>
      </c>
      <c r="F269" s="4">
        <v>5</v>
      </c>
      <c r="G269" s="1" t="s">
        <v>24</v>
      </c>
      <c r="H269" s="1" t="s">
        <v>19</v>
      </c>
      <c r="I269" s="4" t="s">
        <v>21</v>
      </c>
      <c r="J269" s="1" t="s">
        <v>19</v>
      </c>
      <c r="K269" s="4">
        <v>0</v>
      </c>
      <c r="L269" s="4">
        <v>0</v>
      </c>
      <c r="M269" s="4">
        <v>5</v>
      </c>
    </row>
    <row r="270" spans="1:13" ht="16.5" customHeight="1" x14ac:dyDescent="0.25">
      <c r="A270" s="1">
        <v>3499</v>
      </c>
      <c r="B270" s="1" t="s">
        <v>279</v>
      </c>
      <c r="C270" s="1" t="s">
        <v>14</v>
      </c>
      <c r="D270" s="3">
        <v>45616</v>
      </c>
      <c r="E270" s="1" t="s">
        <v>19</v>
      </c>
      <c r="F270" s="4">
        <v>15</v>
      </c>
      <c r="G270" s="1" t="s">
        <v>16</v>
      </c>
      <c r="H270" s="1" t="s">
        <v>15</v>
      </c>
      <c r="I270" s="4">
        <v>30</v>
      </c>
      <c r="J270" s="1" t="s">
        <v>15</v>
      </c>
      <c r="K270" s="4">
        <v>20</v>
      </c>
      <c r="L270" s="4">
        <v>3</v>
      </c>
      <c r="M270" s="4">
        <v>62</v>
      </c>
    </row>
    <row r="271" spans="1:13" ht="16.5" hidden="1" customHeight="1" x14ac:dyDescent="0.25">
      <c r="A271" s="1">
        <v>3500</v>
      </c>
      <c r="B271" s="1" t="s">
        <v>280</v>
      </c>
      <c r="C271" s="1" t="s">
        <v>23</v>
      </c>
      <c r="D271" s="3">
        <v>45617</v>
      </c>
      <c r="E271" s="1" t="s">
        <v>15</v>
      </c>
      <c r="F271" s="4">
        <v>10</v>
      </c>
      <c r="G271" s="1" t="s">
        <v>20</v>
      </c>
      <c r="H271" s="1" t="s">
        <v>19</v>
      </c>
      <c r="I271" s="4" t="s">
        <v>21</v>
      </c>
      <c r="J271" s="1" t="s">
        <v>15</v>
      </c>
      <c r="K271" s="4">
        <v>20</v>
      </c>
      <c r="L271" s="4">
        <v>15</v>
      </c>
      <c r="M271" s="4">
        <v>15</v>
      </c>
    </row>
    <row r="272" spans="1:13" ht="16.5" hidden="1" customHeight="1" x14ac:dyDescent="0.25">
      <c r="A272" s="1">
        <v>3501</v>
      </c>
      <c r="B272" s="1" t="s">
        <v>281</v>
      </c>
      <c r="C272" s="1" t="s">
        <v>18</v>
      </c>
      <c r="D272" s="3">
        <v>45618</v>
      </c>
      <c r="E272" s="1" t="s">
        <v>19</v>
      </c>
      <c r="F272" s="4">
        <v>5</v>
      </c>
      <c r="G272" s="1" t="s">
        <v>16</v>
      </c>
      <c r="H272" s="1" t="s">
        <v>19</v>
      </c>
      <c r="I272" s="4" t="s">
        <v>21</v>
      </c>
      <c r="J272" s="1" t="s">
        <v>19</v>
      </c>
      <c r="K272" s="4">
        <v>0</v>
      </c>
      <c r="L272" s="4">
        <v>1</v>
      </c>
      <c r="M272" s="4">
        <v>4</v>
      </c>
    </row>
    <row r="273" spans="1:13" ht="16.5" customHeight="1" x14ac:dyDescent="0.25">
      <c r="A273" s="1">
        <v>3502</v>
      </c>
      <c r="B273" s="1" t="s">
        <v>282</v>
      </c>
      <c r="C273" s="1" t="s">
        <v>14</v>
      </c>
      <c r="D273" s="3">
        <v>45619</v>
      </c>
      <c r="E273" s="1" t="s">
        <v>15</v>
      </c>
      <c r="F273" s="4">
        <v>15</v>
      </c>
      <c r="G273" s="1" t="s">
        <v>24</v>
      </c>
      <c r="H273" s="1" t="s">
        <v>15</v>
      </c>
      <c r="I273" s="4">
        <v>30</v>
      </c>
      <c r="J273" s="1" t="s">
        <v>15</v>
      </c>
      <c r="K273" s="4">
        <v>20</v>
      </c>
      <c r="L273" s="4">
        <v>7</v>
      </c>
      <c r="M273" s="4">
        <v>58</v>
      </c>
    </row>
    <row r="274" spans="1:13" ht="16.5" hidden="1" customHeight="1" x14ac:dyDescent="0.25">
      <c r="A274" s="1">
        <v>3503</v>
      </c>
      <c r="B274" s="1" t="s">
        <v>141</v>
      </c>
      <c r="C274" s="1" t="s">
        <v>23</v>
      </c>
      <c r="D274" s="3">
        <v>45620</v>
      </c>
      <c r="E274" s="1" t="s">
        <v>19</v>
      </c>
      <c r="F274" s="4">
        <v>10</v>
      </c>
      <c r="G274" s="1" t="s">
        <v>16</v>
      </c>
      <c r="H274" s="1" t="s">
        <v>19</v>
      </c>
      <c r="I274" s="4" t="s">
        <v>21</v>
      </c>
      <c r="J274" s="1" t="s">
        <v>15</v>
      </c>
      <c r="K274" s="4">
        <v>20</v>
      </c>
      <c r="L274" s="4">
        <v>10</v>
      </c>
      <c r="M274" s="4">
        <v>20</v>
      </c>
    </row>
    <row r="275" spans="1:13" ht="16.5" hidden="1" customHeight="1" x14ac:dyDescent="0.25">
      <c r="A275" s="1">
        <v>3504</v>
      </c>
      <c r="B275" s="1" t="s">
        <v>283</v>
      </c>
      <c r="C275" s="1" t="s">
        <v>18</v>
      </c>
      <c r="D275" s="3">
        <v>45621</v>
      </c>
      <c r="E275" s="1" t="s">
        <v>15</v>
      </c>
      <c r="F275" s="4">
        <v>5</v>
      </c>
      <c r="G275" s="1" t="s">
        <v>20</v>
      </c>
      <c r="H275" s="1" t="s">
        <v>19</v>
      </c>
      <c r="I275" s="4" t="s">
        <v>21</v>
      </c>
      <c r="J275" s="1" t="s">
        <v>19</v>
      </c>
      <c r="K275" s="4">
        <v>0</v>
      </c>
      <c r="L275" s="4">
        <v>0</v>
      </c>
      <c r="M275" s="4">
        <v>5</v>
      </c>
    </row>
    <row r="276" spans="1:13" ht="16.5" customHeight="1" x14ac:dyDescent="0.25">
      <c r="A276" s="1">
        <v>3505</v>
      </c>
      <c r="B276" s="1" t="s">
        <v>284</v>
      </c>
      <c r="C276" s="1" t="s">
        <v>14</v>
      </c>
      <c r="D276" s="3">
        <v>45622</v>
      </c>
      <c r="E276" s="1" t="s">
        <v>19</v>
      </c>
      <c r="F276" s="4">
        <v>15</v>
      </c>
      <c r="G276" s="1" t="s">
        <v>16</v>
      </c>
      <c r="H276" s="1" t="s">
        <v>15</v>
      </c>
      <c r="I276" s="4">
        <v>30</v>
      </c>
      <c r="J276" s="1" t="s">
        <v>15</v>
      </c>
      <c r="K276" s="4">
        <v>20</v>
      </c>
      <c r="L276" s="4">
        <v>20</v>
      </c>
      <c r="M276" s="4">
        <v>45</v>
      </c>
    </row>
    <row r="277" spans="1:13" ht="16.5" hidden="1" customHeight="1" x14ac:dyDescent="0.25">
      <c r="A277" s="1">
        <v>3506</v>
      </c>
      <c r="B277" s="1" t="s">
        <v>285</v>
      </c>
      <c r="C277" s="1" t="s">
        <v>23</v>
      </c>
      <c r="D277" s="3">
        <v>45623</v>
      </c>
      <c r="E277" s="1" t="s">
        <v>15</v>
      </c>
      <c r="F277" s="4">
        <v>10</v>
      </c>
      <c r="G277" s="1" t="s">
        <v>24</v>
      </c>
      <c r="H277" s="1" t="s">
        <v>19</v>
      </c>
      <c r="I277" s="4" t="s">
        <v>21</v>
      </c>
      <c r="J277" s="1" t="s">
        <v>15</v>
      </c>
      <c r="K277" s="4">
        <v>20</v>
      </c>
      <c r="L277" s="4">
        <v>15</v>
      </c>
      <c r="M277" s="4">
        <v>15</v>
      </c>
    </row>
    <row r="278" spans="1:13" ht="16.5" hidden="1" customHeight="1" x14ac:dyDescent="0.25">
      <c r="A278" s="1">
        <v>3507</v>
      </c>
      <c r="B278" s="1" t="s">
        <v>286</v>
      </c>
      <c r="C278" s="1" t="s">
        <v>18</v>
      </c>
      <c r="D278" s="3">
        <v>45624</v>
      </c>
      <c r="E278" s="1" t="s">
        <v>19</v>
      </c>
      <c r="F278" s="4">
        <v>5</v>
      </c>
      <c r="G278" s="1" t="s">
        <v>16</v>
      </c>
      <c r="H278" s="1" t="s">
        <v>19</v>
      </c>
      <c r="I278" s="4" t="s">
        <v>21</v>
      </c>
      <c r="J278" s="1" t="s">
        <v>19</v>
      </c>
      <c r="K278" s="4">
        <v>0</v>
      </c>
      <c r="L278" s="4">
        <v>1</v>
      </c>
      <c r="M278" s="4">
        <v>4</v>
      </c>
    </row>
    <row r="279" spans="1:13" ht="16.5" customHeight="1" x14ac:dyDescent="0.25">
      <c r="A279" s="1">
        <v>3508</v>
      </c>
      <c r="B279" s="1" t="s">
        <v>287</v>
      </c>
      <c r="C279" s="1" t="s">
        <v>14</v>
      </c>
      <c r="D279" s="3">
        <v>45625</v>
      </c>
      <c r="E279" s="1" t="s">
        <v>15</v>
      </c>
      <c r="F279" s="4">
        <v>15</v>
      </c>
      <c r="G279" s="1" t="s">
        <v>20</v>
      </c>
      <c r="H279" s="1" t="s">
        <v>15</v>
      </c>
      <c r="I279" s="4">
        <v>30</v>
      </c>
      <c r="J279" s="1" t="s">
        <v>15</v>
      </c>
      <c r="K279" s="4">
        <v>20</v>
      </c>
      <c r="L279" s="4">
        <v>3</v>
      </c>
      <c r="M279" s="4">
        <v>62</v>
      </c>
    </row>
    <row r="280" spans="1:13" ht="16.5" hidden="1" customHeight="1" x14ac:dyDescent="0.25">
      <c r="A280" s="1">
        <v>3509</v>
      </c>
      <c r="B280" s="1" t="s">
        <v>288</v>
      </c>
      <c r="C280" s="1" t="s">
        <v>23</v>
      </c>
      <c r="D280" s="3">
        <v>45626</v>
      </c>
      <c r="E280" s="1" t="s">
        <v>19</v>
      </c>
      <c r="F280" s="4">
        <v>10</v>
      </c>
      <c r="G280" s="1" t="s">
        <v>16</v>
      </c>
      <c r="H280" s="1" t="s">
        <v>19</v>
      </c>
      <c r="I280" s="4" t="s">
        <v>21</v>
      </c>
      <c r="J280" s="1" t="s">
        <v>15</v>
      </c>
      <c r="K280" s="4">
        <v>20</v>
      </c>
      <c r="L280" s="4">
        <v>10</v>
      </c>
      <c r="M280" s="4">
        <v>20</v>
      </c>
    </row>
    <row r="281" spans="1:13" ht="16.5" hidden="1" customHeight="1" x14ac:dyDescent="0.25">
      <c r="A281" s="1">
        <v>3510</v>
      </c>
      <c r="B281" s="1" t="s">
        <v>289</v>
      </c>
      <c r="C281" s="1" t="s">
        <v>18</v>
      </c>
      <c r="D281" s="3">
        <v>45627</v>
      </c>
      <c r="E281" s="1" t="s">
        <v>15</v>
      </c>
      <c r="F281" s="4">
        <v>5</v>
      </c>
      <c r="G281" s="1" t="s">
        <v>24</v>
      </c>
      <c r="H281" s="1" t="s">
        <v>19</v>
      </c>
      <c r="I281" s="4" t="s">
        <v>21</v>
      </c>
      <c r="J281" s="1" t="s">
        <v>19</v>
      </c>
      <c r="K281" s="4">
        <v>0</v>
      </c>
      <c r="L281" s="4">
        <v>0</v>
      </c>
      <c r="M281" s="4">
        <v>5</v>
      </c>
    </row>
    <row r="282" spans="1:13" ht="16.5" customHeight="1" x14ac:dyDescent="0.25">
      <c r="A282" s="1">
        <v>3511</v>
      </c>
      <c r="B282" s="1" t="s">
        <v>290</v>
      </c>
      <c r="C282" s="1" t="s">
        <v>14</v>
      </c>
      <c r="D282" s="3">
        <v>45628</v>
      </c>
      <c r="E282" s="1" t="s">
        <v>19</v>
      </c>
      <c r="F282" s="4">
        <v>15</v>
      </c>
      <c r="G282" s="1" t="s">
        <v>16</v>
      </c>
      <c r="H282" s="1" t="s">
        <v>15</v>
      </c>
      <c r="I282" s="4">
        <v>30</v>
      </c>
      <c r="J282" s="1" t="s">
        <v>15</v>
      </c>
      <c r="K282" s="4">
        <v>20</v>
      </c>
      <c r="L282" s="4">
        <v>15</v>
      </c>
      <c r="M282" s="4">
        <v>50</v>
      </c>
    </row>
    <row r="283" spans="1:13" ht="16.5" hidden="1" customHeight="1" x14ac:dyDescent="0.25">
      <c r="A283" s="1">
        <v>3512</v>
      </c>
      <c r="B283" s="1" t="s">
        <v>291</v>
      </c>
      <c r="C283" s="1" t="s">
        <v>23</v>
      </c>
      <c r="D283" s="3">
        <v>45629</v>
      </c>
      <c r="E283" s="1" t="s">
        <v>15</v>
      </c>
      <c r="F283" s="4">
        <v>10</v>
      </c>
      <c r="G283" s="1" t="s">
        <v>20</v>
      </c>
      <c r="H283" s="1" t="s">
        <v>19</v>
      </c>
      <c r="I283" s="4" t="s">
        <v>21</v>
      </c>
      <c r="J283" s="1" t="s">
        <v>15</v>
      </c>
      <c r="K283" s="4">
        <v>20</v>
      </c>
      <c r="L283" s="4">
        <v>15</v>
      </c>
      <c r="M283" s="4">
        <v>15</v>
      </c>
    </row>
    <row r="284" spans="1:13" ht="16.5" hidden="1" customHeight="1" x14ac:dyDescent="0.25">
      <c r="A284" s="1">
        <v>3513</v>
      </c>
      <c r="B284" s="1" t="s">
        <v>292</v>
      </c>
      <c r="C284" s="1" t="s">
        <v>18</v>
      </c>
      <c r="D284" s="3">
        <v>45630</v>
      </c>
      <c r="E284" s="1" t="s">
        <v>19</v>
      </c>
      <c r="F284" s="4">
        <v>5</v>
      </c>
      <c r="G284" s="1" t="s">
        <v>16</v>
      </c>
      <c r="H284" s="1" t="s">
        <v>19</v>
      </c>
      <c r="I284" s="4" t="s">
        <v>21</v>
      </c>
      <c r="J284" s="1" t="s">
        <v>19</v>
      </c>
      <c r="K284" s="4">
        <v>0</v>
      </c>
      <c r="L284" s="4">
        <v>1</v>
      </c>
      <c r="M284" s="4">
        <v>4</v>
      </c>
    </row>
    <row r="285" spans="1:13" ht="16.5" customHeight="1" x14ac:dyDescent="0.25">
      <c r="A285" s="1">
        <v>3514</v>
      </c>
      <c r="B285" s="1" t="s">
        <v>293</v>
      </c>
      <c r="C285" s="1" t="s">
        <v>14</v>
      </c>
      <c r="D285" s="3">
        <v>45631</v>
      </c>
      <c r="E285" s="1" t="s">
        <v>15</v>
      </c>
      <c r="F285" s="4">
        <v>15</v>
      </c>
      <c r="G285" s="1" t="s">
        <v>24</v>
      </c>
      <c r="H285" s="1" t="s">
        <v>15</v>
      </c>
      <c r="I285" s="4">
        <v>30</v>
      </c>
      <c r="J285" s="1" t="s">
        <v>15</v>
      </c>
      <c r="K285" s="4">
        <v>20</v>
      </c>
      <c r="L285" s="4">
        <v>7</v>
      </c>
      <c r="M285" s="4">
        <v>58</v>
      </c>
    </row>
    <row r="286" spans="1:13" ht="16.5" hidden="1" customHeight="1" x14ac:dyDescent="0.25">
      <c r="A286" s="1">
        <v>3515</v>
      </c>
      <c r="B286" s="1" t="s">
        <v>152</v>
      </c>
      <c r="C286" s="1" t="s">
        <v>23</v>
      </c>
      <c r="D286" s="3">
        <v>45632</v>
      </c>
      <c r="E286" s="1" t="s">
        <v>19</v>
      </c>
      <c r="F286" s="4">
        <v>10</v>
      </c>
      <c r="G286" s="1" t="s">
        <v>16</v>
      </c>
      <c r="H286" s="1" t="s">
        <v>19</v>
      </c>
      <c r="I286" s="4" t="s">
        <v>21</v>
      </c>
      <c r="J286" s="1" t="s">
        <v>15</v>
      </c>
      <c r="K286" s="4">
        <v>20</v>
      </c>
      <c r="L286" s="4">
        <v>10</v>
      </c>
      <c r="M286" s="4">
        <v>20</v>
      </c>
    </row>
    <row r="287" spans="1:13" ht="16.5" hidden="1" customHeight="1" x14ac:dyDescent="0.25">
      <c r="A287" s="1">
        <v>3516</v>
      </c>
      <c r="B287" s="1" t="s">
        <v>153</v>
      </c>
      <c r="C287" s="1" t="s">
        <v>18</v>
      </c>
      <c r="D287" s="3">
        <v>45633</v>
      </c>
      <c r="E287" s="1" t="s">
        <v>15</v>
      </c>
      <c r="F287" s="4">
        <v>5</v>
      </c>
      <c r="G287" s="1" t="s">
        <v>20</v>
      </c>
      <c r="H287" s="1" t="s">
        <v>19</v>
      </c>
      <c r="I287" s="4" t="s">
        <v>21</v>
      </c>
      <c r="J287" s="1" t="s">
        <v>19</v>
      </c>
      <c r="K287" s="4">
        <v>0</v>
      </c>
      <c r="L287" s="4">
        <v>0</v>
      </c>
      <c r="M287" s="4">
        <v>5</v>
      </c>
    </row>
    <row r="288" spans="1:13" ht="16.5" customHeight="1" x14ac:dyDescent="0.25">
      <c r="A288" s="1">
        <v>3517</v>
      </c>
      <c r="B288" s="1" t="s">
        <v>203</v>
      </c>
      <c r="C288" s="1" t="s">
        <v>14</v>
      </c>
      <c r="D288" s="3">
        <v>45634</v>
      </c>
      <c r="E288" s="1" t="s">
        <v>19</v>
      </c>
      <c r="F288" s="4">
        <v>15</v>
      </c>
      <c r="G288" s="1" t="s">
        <v>16</v>
      </c>
      <c r="H288" s="1" t="s">
        <v>15</v>
      </c>
      <c r="I288" s="4">
        <v>30</v>
      </c>
      <c r="J288" s="1" t="s">
        <v>15</v>
      </c>
      <c r="K288" s="4">
        <v>20</v>
      </c>
      <c r="L288" s="4">
        <v>20</v>
      </c>
      <c r="M288" s="4">
        <v>45</v>
      </c>
    </row>
    <row r="289" spans="1:13" ht="16.5" hidden="1" customHeight="1" x14ac:dyDescent="0.25">
      <c r="A289" s="1">
        <v>3518</v>
      </c>
      <c r="B289" s="1" t="s">
        <v>294</v>
      </c>
      <c r="C289" s="1" t="s">
        <v>23</v>
      </c>
      <c r="D289" s="3">
        <v>45635</v>
      </c>
      <c r="E289" s="1" t="s">
        <v>15</v>
      </c>
      <c r="F289" s="4">
        <v>10</v>
      </c>
      <c r="G289" s="1" t="s">
        <v>24</v>
      </c>
      <c r="H289" s="1" t="s">
        <v>19</v>
      </c>
      <c r="I289" s="4" t="s">
        <v>21</v>
      </c>
      <c r="J289" s="1" t="s">
        <v>15</v>
      </c>
      <c r="K289" s="4">
        <v>20</v>
      </c>
      <c r="L289" s="4">
        <v>12</v>
      </c>
      <c r="M289" s="4">
        <v>18</v>
      </c>
    </row>
    <row r="290" spans="1:13" ht="16.5" hidden="1" customHeight="1" x14ac:dyDescent="0.25">
      <c r="A290" s="1">
        <v>3519</v>
      </c>
      <c r="B290" s="1" t="s">
        <v>295</v>
      </c>
      <c r="C290" s="1" t="s">
        <v>18</v>
      </c>
      <c r="D290" s="3">
        <v>45636</v>
      </c>
      <c r="E290" s="1" t="s">
        <v>19</v>
      </c>
      <c r="F290" s="4">
        <v>5</v>
      </c>
      <c r="G290" s="1" t="s">
        <v>16</v>
      </c>
      <c r="H290" s="1" t="s">
        <v>19</v>
      </c>
      <c r="I290" s="4" t="s">
        <v>21</v>
      </c>
      <c r="J290" s="1" t="s">
        <v>19</v>
      </c>
      <c r="K290" s="4">
        <v>0</v>
      </c>
      <c r="L290" s="4">
        <v>2</v>
      </c>
      <c r="M290" s="4">
        <v>3</v>
      </c>
    </row>
    <row r="291" spans="1:13" ht="16.5" customHeight="1" x14ac:dyDescent="0.25">
      <c r="A291" s="1">
        <v>3520</v>
      </c>
      <c r="B291" s="1" t="s">
        <v>296</v>
      </c>
      <c r="C291" s="1" t="s">
        <v>14</v>
      </c>
      <c r="D291" s="3">
        <v>45637</v>
      </c>
      <c r="E291" s="1" t="s">
        <v>15</v>
      </c>
      <c r="F291" s="4">
        <v>15</v>
      </c>
      <c r="G291" s="1" t="s">
        <v>20</v>
      </c>
      <c r="H291" s="1" t="s">
        <v>15</v>
      </c>
      <c r="I291" s="4">
        <v>30</v>
      </c>
      <c r="J291" s="1" t="s">
        <v>15</v>
      </c>
      <c r="K291" s="4">
        <v>20</v>
      </c>
      <c r="L291" s="4">
        <v>5</v>
      </c>
      <c r="M291" s="4">
        <v>60</v>
      </c>
    </row>
    <row r="292" spans="1:13" ht="16.5" hidden="1" customHeight="1" x14ac:dyDescent="0.25">
      <c r="A292" s="1">
        <v>3521</v>
      </c>
      <c r="B292" s="1" t="s">
        <v>297</v>
      </c>
      <c r="C292" s="1" t="s">
        <v>23</v>
      </c>
      <c r="D292" s="3">
        <v>45638</v>
      </c>
      <c r="E292" s="1" t="s">
        <v>19</v>
      </c>
      <c r="F292" s="4">
        <v>10</v>
      </c>
      <c r="G292" s="1" t="s">
        <v>16</v>
      </c>
      <c r="H292" s="1" t="s">
        <v>19</v>
      </c>
      <c r="I292" s="4" t="s">
        <v>21</v>
      </c>
      <c r="J292" s="1" t="s">
        <v>15</v>
      </c>
      <c r="K292" s="4">
        <v>20</v>
      </c>
      <c r="L292" s="4">
        <v>10</v>
      </c>
      <c r="M292" s="4">
        <v>20</v>
      </c>
    </row>
    <row r="293" spans="1:13" ht="16.5" hidden="1" customHeight="1" x14ac:dyDescent="0.25">
      <c r="A293" s="1">
        <v>3522</v>
      </c>
      <c r="B293" s="1" t="s">
        <v>298</v>
      </c>
      <c r="C293" s="1" t="s">
        <v>18</v>
      </c>
      <c r="D293" s="3">
        <v>45639</v>
      </c>
      <c r="E293" s="1" t="s">
        <v>15</v>
      </c>
      <c r="F293" s="4">
        <v>5</v>
      </c>
      <c r="G293" s="1" t="s">
        <v>24</v>
      </c>
      <c r="H293" s="1" t="s">
        <v>19</v>
      </c>
      <c r="I293" s="4" t="s">
        <v>21</v>
      </c>
      <c r="J293" s="1" t="s">
        <v>19</v>
      </c>
      <c r="K293" s="4">
        <v>0</v>
      </c>
      <c r="L293" s="4">
        <v>0</v>
      </c>
      <c r="M293" s="4">
        <v>5</v>
      </c>
    </row>
    <row r="294" spans="1:13" ht="16.5" customHeight="1" x14ac:dyDescent="0.25">
      <c r="A294" s="1">
        <v>3523</v>
      </c>
      <c r="B294" s="1" t="s">
        <v>299</v>
      </c>
      <c r="C294" s="1" t="s">
        <v>14</v>
      </c>
      <c r="D294" s="3">
        <v>45640</v>
      </c>
      <c r="E294" s="1" t="s">
        <v>19</v>
      </c>
      <c r="F294" s="4">
        <v>15</v>
      </c>
      <c r="G294" s="1" t="s">
        <v>16</v>
      </c>
      <c r="H294" s="1" t="s">
        <v>15</v>
      </c>
      <c r="I294" s="4">
        <v>30</v>
      </c>
      <c r="J294" s="1" t="s">
        <v>15</v>
      </c>
      <c r="K294" s="4">
        <v>20</v>
      </c>
      <c r="L294" s="4">
        <v>3</v>
      </c>
      <c r="M294" s="4">
        <v>62</v>
      </c>
    </row>
    <row r="295" spans="1:13" ht="16.5" hidden="1" customHeight="1" x14ac:dyDescent="0.25">
      <c r="A295" s="1">
        <v>3524</v>
      </c>
      <c r="B295" s="1" t="s">
        <v>300</v>
      </c>
      <c r="C295" s="1" t="s">
        <v>23</v>
      </c>
      <c r="D295" s="3">
        <v>45641</v>
      </c>
      <c r="E295" s="1" t="s">
        <v>15</v>
      </c>
      <c r="F295" s="4">
        <v>10</v>
      </c>
      <c r="G295" s="1" t="s">
        <v>20</v>
      </c>
      <c r="H295" s="1" t="s">
        <v>19</v>
      </c>
      <c r="I295" s="4" t="s">
        <v>21</v>
      </c>
      <c r="J295" s="1" t="s">
        <v>15</v>
      </c>
      <c r="K295" s="4">
        <v>20</v>
      </c>
      <c r="L295" s="4">
        <v>15</v>
      </c>
      <c r="M295" s="4">
        <v>15</v>
      </c>
    </row>
    <row r="296" spans="1:13" ht="16.5" hidden="1" customHeight="1" x14ac:dyDescent="0.25">
      <c r="A296" s="1">
        <v>3525</v>
      </c>
      <c r="B296" s="1" t="s">
        <v>301</v>
      </c>
      <c r="C296" s="1" t="s">
        <v>18</v>
      </c>
      <c r="D296" s="3">
        <v>45642</v>
      </c>
      <c r="E296" s="1" t="s">
        <v>19</v>
      </c>
      <c r="F296" s="4">
        <v>5</v>
      </c>
      <c r="G296" s="1" t="s">
        <v>16</v>
      </c>
      <c r="H296" s="1" t="s">
        <v>19</v>
      </c>
      <c r="I296" s="4" t="s">
        <v>21</v>
      </c>
      <c r="J296" s="1" t="s">
        <v>19</v>
      </c>
      <c r="K296" s="4">
        <v>0</v>
      </c>
      <c r="L296" s="4">
        <v>1</v>
      </c>
      <c r="M296" s="4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A1:Q339"/>
  <sheetViews>
    <sheetView showGridLines="0" workbookViewId="0">
      <selection activeCell="O65" sqref="O65"/>
    </sheetView>
  </sheetViews>
  <sheetFormatPr defaultRowHeight="15" x14ac:dyDescent="0.25"/>
  <cols>
    <col min="1" max="2" width="16" customWidth="1"/>
    <col min="3" max="4" width="16" bestFit="1" customWidth="1"/>
    <col min="5" max="5" width="16" customWidth="1"/>
    <col min="6" max="7" width="16" bestFit="1" customWidth="1"/>
    <col min="8" max="8" width="16" customWidth="1"/>
    <col min="9" max="10" width="16" bestFit="1" customWidth="1"/>
    <col min="11" max="11" width="16" customWidth="1"/>
    <col min="12" max="12" width="13.140625" bestFit="1" customWidth="1"/>
    <col min="13" max="13" width="20.42578125" bestFit="1" customWidth="1"/>
    <col min="14" max="15" width="16" customWidth="1"/>
    <col min="16" max="17" width="16" bestFit="1" customWidth="1"/>
  </cols>
  <sheetData>
    <row r="1" spans="1:17" ht="25.5" x14ac:dyDescent="0.5">
      <c r="A1" s="5" t="s">
        <v>302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6.5" x14ac:dyDescent="0.3">
      <c r="A3" s="7" t="s">
        <v>0</v>
      </c>
      <c r="B3" s="7" t="s">
        <v>2</v>
      </c>
      <c r="C3" s="7" t="s">
        <v>3</v>
      </c>
      <c r="D3" s="7" t="s">
        <v>303</v>
      </c>
      <c r="E3" s="7" t="s">
        <v>304</v>
      </c>
      <c r="F3" s="7" t="s">
        <v>305</v>
      </c>
      <c r="G3" s="7" t="s">
        <v>306</v>
      </c>
      <c r="H3" s="7" t="s">
        <v>307</v>
      </c>
      <c r="I3" s="7" t="s">
        <v>12</v>
      </c>
      <c r="J3" s="7" t="s">
        <v>11</v>
      </c>
      <c r="K3" s="7" t="s">
        <v>6</v>
      </c>
      <c r="L3" s="7" t="s">
        <v>308</v>
      </c>
      <c r="M3" s="7" t="s">
        <v>309</v>
      </c>
      <c r="N3" s="6"/>
      <c r="O3" s="6"/>
      <c r="P3" s="6"/>
      <c r="Q3" s="6"/>
    </row>
    <row r="4" spans="1:17" ht="16.5" x14ac:dyDescent="0.3">
      <c r="A4" s="8">
        <f>B̳ases!A2</f>
        <v>3231</v>
      </c>
      <c r="B4" s="9" t="str">
        <f>B̳ases!C2</f>
        <v>Ultimate</v>
      </c>
      <c r="C4" s="10">
        <f>B̳ases!D2</f>
        <v>45292</v>
      </c>
      <c r="D4" s="9" t="str">
        <f t="shared" ref="D4:D67" si="0">TEXT(C4,"mmm")</f>
        <v>jan</v>
      </c>
      <c r="E4" s="8">
        <f t="shared" ref="E4:E67" si="1">MONTH(C4)</f>
        <v>1</v>
      </c>
      <c r="F4" s="8">
        <f>IF(B̳ases!E2="Yes",1,0)</f>
        <v>1</v>
      </c>
      <c r="G4" s="8">
        <f>IF(B̳ases!H2="Yes",1,0)</f>
        <v>1</v>
      </c>
      <c r="H4" s="8">
        <f>IF(B̳ases!J2="Yes",1,0)</f>
        <v>1</v>
      </c>
      <c r="I4" s="11">
        <f>B̳ases!M2</f>
        <v>60</v>
      </c>
      <c r="J4" s="11">
        <f>B̳ases!L2</f>
        <v>5</v>
      </c>
      <c r="K4" s="9" t="str">
        <f>B̳ases!G2</f>
        <v>Monthly</v>
      </c>
      <c r="L4" s="11">
        <f>IFERROR(VALUE(B̳ases!I2),0)</f>
        <v>30</v>
      </c>
      <c r="M4" s="11">
        <f>B̳ases!K2</f>
        <v>20</v>
      </c>
      <c r="N4" s="6"/>
      <c r="O4" s="6"/>
      <c r="P4" s="6"/>
      <c r="Q4" s="6"/>
    </row>
    <row r="5" spans="1:17" ht="16.5" x14ac:dyDescent="0.3">
      <c r="A5" s="8">
        <f>B̳ases!A3</f>
        <v>3232</v>
      </c>
      <c r="B5" s="9" t="str">
        <f>B̳ases!C3</f>
        <v>Core</v>
      </c>
      <c r="C5" s="10">
        <f>B̳ases!D3</f>
        <v>45306</v>
      </c>
      <c r="D5" s="9" t="str">
        <f t="shared" si="0"/>
        <v>jan</v>
      </c>
      <c r="E5" s="8">
        <f t="shared" si="1"/>
        <v>1</v>
      </c>
      <c r="F5" s="8">
        <f>IF(B̳ases!E3="Yes",1,0)</f>
        <v>0</v>
      </c>
      <c r="G5" s="8">
        <f>IF(B̳ases!H3="Yes",1,0)</f>
        <v>0</v>
      </c>
      <c r="H5" s="8">
        <f>IF(B̳ases!J3="Yes",1,0)</f>
        <v>0</v>
      </c>
      <c r="I5" s="11">
        <f>B̳ases!M3</f>
        <v>5</v>
      </c>
      <c r="J5" s="11">
        <f>B̳ases!L3</f>
        <v>0</v>
      </c>
      <c r="K5" s="9" t="str">
        <f>B̳ases!G3</f>
        <v>Annual</v>
      </c>
      <c r="L5" s="11">
        <f>IFERROR(VALUE(B̳ases!I3),0)</f>
        <v>0</v>
      </c>
      <c r="M5" s="11">
        <f>B̳ases!K3</f>
        <v>0</v>
      </c>
      <c r="N5" s="6"/>
      <c r="O5" s="6"/>
      <c r="P5" s="6"/>
      <c r="Q5" s="6"/>
    </row>
    <row r="6" spans="1:17" ht="16.5" x14ac:dyDescent="0.3">
      <c r="A6" s="8">
        <f>B̳ases!A4</f>
        <v>3233</v>
      </c>
      <c r="B6" s="9" t="str">
        <f>B̳ases!C4</f>
        <v>Standard</v>
      </c>
      <c r="C6" s="10">
        <f>B̳ases!D4</f>
        <v>45332</v>
      </c>
      <c r="D6" s="9" t="str">
        <f t="shared" si="0"/>
        <v>fev</v>
      </c>
      <c r="E6" s="8">
        <f t="shared" si="1"/>
        <v>2</v>
      </c>
      <c r="F6" s="8">
        <f>IF(B̳ases!E4="Yes",1,0)</f>
        <v>1</v>
      </c>
      <c r="G6" s="8">
        <f>IF(B̳ases!H4="Yes",1,0)</f>
        <v>0</v>
      </c>
      <c r="H6" s="8">
        <f>IF(B̳ases!J4="Yes",1,0)</f>
        <v>1</v>
      </c>
      <c r="I6" s="11">
        <f>B̳ases!M4</f>
        <v>20</v>
      </c>
      <c r="J6" s="11">
        <f>B̳ases!L4</f>
        <v>10</v>
      </c>
      <c r="K6" s="9" t="str">
        <f>B̳ases!G4</f>
        <v>Quarterly</v>
      </c>
      <c r="L6" s="11">
        <f>IFERROR(VALUE(B̳ases!I4),0)</f>
        <v>0</v>
      </c>
      <c r="M6" s="11">
        <f>B̳ases!K4</f>
        <v>20</v>
      </c>
      <c r="N6" s="6"/>
      <c r="O6" s="6"/>
      <c r="P6" s="6"/>
      <c r="Q6" s="6"/>
    </row>
    <row r="7" spans="1:17" ht="16.5" x14ac:dyDescent="0.3">
      <c r="A7" s="8">
        <f>B̳ases!A5</f>
        <v>3234</v>
      </c>
      <c r="B7" s="9" t="str">
        <f>B̳ases!C5</f>
        <v>Ultimate</v>
      </c>
      <c r="C7" s="10">
        <f>B̳ases!D5</f>
        <v>45342</v>
      </c>
      <c r="D7" s="9" t="str">
        <f t="shared" si="0"/>
        <v>fev</v>
      </c>
      <c r="E7" s="8">
        <f t="shared" si="1"/>
        <v>2</v>
      </c>
      <c r="F7" s="8">
        <f>IF(B̳ases!E5="Yes",1,0)</f>
        <v>0</v>
      </c>
      <c r="G7" s="8">
        <f>IF(B̳ases!H5="Yes",1,0)</f>
        <v>1</v>
      </c>
      <c r="H7" s="8">
        <f>IF(B̳ases!J5="Yes",1,0)</f>
        <v>1</v>
      </c>
      <c r="I7" s="11">
        <f>B̳ases!M5</f>
        <v>62</v>
      </c>
      <c r="J7" s="11">
        <f>B̳ases!L5</f>
        <v>3</v>
      </c>
      <c r="K7" s="9" t="str">
        <f>B̳ases!G5</f>
        <v>Monthly</v>
      </c>
      <c r="L7" s="11">
        <f>IFERROR(VALUE(B̳ases!I5),0)</f>
        <v>30</v>
      </c>
      <c r="M7" s="11">
        <f>B̳ases!K5</f>
        <v>20</v>
      </c>
      <c r="N7" s="6"/>
      <c r="O7" s="6"/>
      <c r="P7" s="6"/>
      <c r="Q7" s="6"/>
    </row>
    <row r="8" spans="1:17" ht="16.5" x14ac:dyDescent="0.3">
      <c r="A8" s="8">
        <f>B̳ases!A6</f>
        <v>3235</v>
      </c>
      <c r="B8" s="9" t="str">
        <f>B̳ases!C6</f>
        <v>Core</v>
      </c>
      <c r="C8" s="10">
        <f>B̳ases!D6</f>
        <v>45356</v>
      </c>
      <c r="D8" s="9" t="str">
        <f t="shared" si="0"/>
        <v>mar</v>
      </c>
      <c r="E8" s="8">
        <f t="shared" si="1"/>
        <v>3</v>
      </c>
      <c r="F8" s="8">
        <f>IF(B̳ases!E6="Yes",1,0)</f>
        <v>1</v>
      </c>
      <c r="G8" s="8">
        <f>IF(B̳ases!H6="Yes",1,0)</f>
        <v>0</v>
      </c>
      <c r="H8" s="8">
        <f>IF(B̳ases!J6="Yes",1,0)</f>
        <v>0</v>
      </c>
      <c r="I8" s="11">
        <f>B̳ases!M6</f>
        <v>4</v>
      </c>
      <c r="J8" s="11">
        <f>B̳ases!L6</f>
        <v>1</v>
      </c>
      <c r="K8" s="9" t="str">
        <f>B̳ases!G6</f>
        <v>Monthly</v>
      </c>
      <c r="L8" s="11">
        <f>IFERROR(VALUE(B̳ases!I6),0)</f>
        <v>0</v>
      </c>
      <c r="M8" s="11">
        <f>B̳ases!K6</f>
        <v>0</v>
      </c>
      <c r="N8" s="6"/>
      <c r="O8" s="6"/>
      <c r="P8" s="6"/>
      <c r="Q8" s="6"/>
    </row>
    <row r="9" spans="1:17" ht="16.5" x14ac:dyDescent="0.3">
      <c r="A9" s="8">
        <f>B̳ases!A7</f>
        <v>3236</v>
      </c>
      <c r="B9" s="9" t="str">
        <f>B̳ases!C7</f>
        <v>Standard</v>
      </c>
      <c r="C9" s="10">
        <f>B̳ases!D7</f>
        <v>45353</v>
      </c>
      <c r="D9" s="9" t="str">
        <f t="shared" si="0"/>
        <v>mar</v>
      </c>
      <c r="E9" s="8">
        <f t="shared" si="1"/>
        <v>3</v>
      </c>
      <c r="F9" s="8">
        <f>IF(B̳ases!E7="Yes",1,0)</f>
        <v>0</v>
      </c>
      <c r="G9" s="8">
        <f>IF(B̳ases!H7="Yes",1,0)</f>
        <v>0</v>
      </c>
      <c r="H9" s="8">
        <f>IF(B̳ases!J7="Yes",1,0)</f>
        <v>1</v>
      </c>
      <c r="I9" s="11">
        <f>B̳ases!M7</f>
        <v>28</v>
      </c>
      <c r="J9" s="11">
        <f>B̳ases!L7</f>
        <v>2</v>
      </c>
      <c r="K9" s="9" t="str">
        <f>B̳ases!G7</f>
        <v>Monthly</v>
      </c>
      <c r="L9" s="11">
        <f>IFERROR(VALUE(B̳ases!I7),0)</f>
        <v>0</v>
      </c>
      <c r="M9" s="11">
        <f>B̳ases!K7</f>
        <v>20</v>
      </c>
      <c r="N9" s="6"/>
      <c r="O9" s="6"/>
      <c r="P9" s="6"/>
      <c r="Q9" s="6"/>
    </row>
    <row r="10" spans="1:17" ht="16.5" x14ac:dyDescent="0.3">
      <c r="A10" s="8">
        <f>B̳ases!A8</f>
        <v>3237</v>
      </c>
      <c r="B10" s="9" t="str">
        <f>B̳ases!C8</f>
        <v>Ultimate</v>
      </c>
      <c r="C10" s="10">
        <f>B̳ases!D8</f>
        <v>45354</v>
      </c>
      <c r="D10" s="9" t="str">
        <f t="shared" si="0"/>
        <v>mar</v>
      </c>
      <c r="E10" s="8">
        <f t="shared" si="1"/>
        <v>3</v>
      </c>
      <c r="F10" s="8">
        <f>IF(B̳ases!E8="Yes",1,0)</f>
        <v>1</v>
      </c>
      <c r="G10" s="8">
        <f>IF(B̳ases!H8="Yes",1,0)</f>
        <v>1</v>
      </c>
      <c r="H10" s="8">
        <f>IF(B̳ases!J8="Yes",1,0)</f>
        <v>1</v>
      </c>
      <c r="I10" s="11">
        <f>B̳ases!M8</f>
        <v>55</v>
      </c>
      <c r="J10" s="11">
        <f>B̳ases!L8</f>
        <v>10</v>
      </c>
      <c r="K10" s="9" t="str">
        <f>B̳ases!G8</f>
        <v>Quarterly</v>
      </c>
      <c r="L10" s="11">
        <f>IFERROR(VALUE(B̳ases!I8),0)</f>
        <v>30</v>
      </c>
      <c r="M10" s="11">
        <f>B̳ases!K8</f>
        <v>20</v>
      </c>
      <c r="N10" s="6"/>
      <c r="O10" s="6"/>
      <c r="P10" s="6"/>
      <c r="Q10" s="6"/>
    </row>
    <row r="11" spans="1:17" ht="16.5" x14ac:dyDescent="0.3">
      <c r="A11" s="8">
        <f>B̳ases!A9</f>
        <v>3238</v>
      </c>
      <c r="B11" s="9" t="str">
        <f>B̳ases!C9</f>
        <v>Core</v>
      </c>
      <c r="C11" s="10">
        <f>B̳ases!D9</f>
        <v>45355</v>
      </c>
      <c r="D11" s="9" t="str">
        <f t="shared" si="0"/>
        <v>mar</v>
      </c>
      <c r="E11" s="8">
        <f t="shared" si="1"/>
        <v>3</v>
      </c>
      <c r="F11" s="8">
        <f>IF(B̳ases!E9="Yes",1,0)</f>
        <v>1</v>
      </c>
      <c r="G11" s="8">
        <f>IF(B̳ases!H9="Yes",1,0)</f>
        <v>0</v>
      </c>
      <c r="H11" s="8">
        <f>IF(B̳ases!J9="Yes",1,0)</f>
        <v>0</v>
      </c>
      <c r="I11" s="11">
        <f>B̳ases!M9</f>
        <v>5</v>
      </c>
      <c r="J11" s="11">
        <f>B̳ases!L9</f>
        <v>0</v>
      </c>
      <c r="K11" s="9" t="str">
        <f>B̳ases!G9</f>
        <v>Annual</v>
      </c>
      <c r="L11" s="11">
        <f>IFERROR(VALUE(B̳ases!I9),0)</f>
        <v>0</v>
      </c>
      <c r="M11" s="11">
        <f>B̳ases!K9</f>
        <v>0</v>
      </c>
      <c r="N11" s="6"/>
      <c r="O11" s="6"/>
      <c r="P11" s="6"/>
      <c r="Q11" s="6"/>
    </row>
    <row r="12" spans="1:17" ht="16.5" x14ac:dyDescent="0.3">
      <c r="A12" s="8">
        <f>B̳ases!A10</f>
        <v>3239</v>
      </c>
      <c r="B12" s="9" t="str">
        <f>B̳ases!C10</f>
        <v>Ultimate</v>
      </c>
      <c r="C12" s="10">
        <f>B̳ases!D10</f>
        <v>45356</v>
      </c>
      <c r="D12" s="9" t="str">
        <f t="shared" si="0"/>
        <v>mar</v>
      </c>
      <c r="E12" s="8">
        <f t="shared" si="1"/>
        <v>3</v>
      </c>
      <c r="F12" s="8">
        <f>IF(B̳ases!E10="Yes",1,0)</f>
        <v>0</v>
      </c>
      <c r="G12" s="8">
        <f>IF(B̳ases!H10="Yes",1,0)</f>
        <v>1</v>
      </c>
      <c r="H12" s="8">
        <f>IF(B̳ases!J10="Yes",1,0)</f>
        <v>1</v>
      </c>
      <c r="I12" s="11">
        <f>B̳ases!M10</f>
        <v>60</v>
      </c>
      <c r="J12" s="11">
        <f>B̳ases!L10</f>
        <v>5</v>
      </c>
      <c r="K12" s="9" t="str">
        <f>B̳ases!G10</f>
        <v>Monthly</v>
      </c>
      <c r="L12" s="11">
        <f>IFERROR(VALUE(B̳ases!I10),0)</f>
        <v>30</v>
      </c>
      <c r="M12" s="11">
        <f>B̳ases!K10</f>
        <v>20</v>
      </c>
      <c r="N12" s="6"/>
      <c r="O12" s="6"/>
      <c r="P12" s="6"/>
      <c r="Q12" s="6"/>
    </row>
    <row r="13" spans="1:17" ht="16.5" x14ac:dyDescent="0.3">
      <c r="A13" s="8">
        <f>B̳ases!A11</f>
        <v>3240</v>
      </c>
      <c r="B13" s="9" t="str">
        <f>B̳ases!C11</f>
        <v>Standard</v>
      </c>
      <c r="C13" s="10">
        <f>B̳ases!D11</f>
        <v>45357</v>
      </c>
      <c r="D13" s="9" t="str">
        <f t="shared" si="0"/>
        <v>mar</v>
      </c>
      <c r="E13" s="8">
        <f t="shared" si="1"/>
        <v>3</v>
      </c>
      <c r="F13" s="8">
        <f>IF(B̳ases!E11="Yes",1,0)</f>
        <v>1</v>
      </c>
      <c r="G13" s="8">
        <f>IF(B̳ases!H11="Yes",1,0)</f>
        <v>0</v>
      </c>
      <c r="H13" s="8">
        <f>IF(B̳ases!J11="Yes",1,0)</f>
        <v>1</v>
      </c>
      <c r="I13" s="11">
        <f>B̳ases!M11</f>
        <v>15</v>
      </c>
      <c r="J13" s="11">
        <f>B̳ases!L11</f>
        <v>15</v>
      </c>
      <c r="K13" s="9" t="str">
        <f>B̳ases!G11</f>
        <v>Quarterly</v>
      </c>
      <c r="L13" s="11">
        <f>IFERROR(VALUE(B̳ases!I11),0)</f>
        <v>0</v>
      </c>
      <c r="M13" s="11">
        <f>B̳ases!K11</f>
        <v>20</v>
      </c>
      <c r="N13" s="6"/>
      <c r="O13" s="6"/>
      <c r="P13" s="6"/>
      <c r="Q13" s="6"/>
    </row>
    <row r="14" spans="1:17" ht="16.5" x14ac:dyDescent="0.3">
      <c r="A14" s="8">
        <f>B̳ases!A12</f>
        <v>3241</v>
      </c>
      <c r="B14" s="9" t="str">
        <f>B̳ases!C12</f>
        <v>Core</v>
      </c>
      <c r="C14" s="10">
        <f>B̳ases!D12</f>
        <v>45358</v>
      </c>
      <c r="D14" s="9" t="str">
        <f t="shared" si="0"/>
        <v>mar</v>
      </c>
      <c r="E14" s="8">
        <f t="shared" si="1"/>
        <v>3</v>
      </c>
      <c r="F14" s="8">
        <f>IF(B̳ases!E12="Yes",1,0)</f>
        <v>0</v>
      </c>
      <c r="G14" s="8">
        <f>IF(B̳ases!H12="Yes",1,0)</f>
        <v>0</v>
      </c>
      <c r="H14" s="8">
        <f>IF(B̳ases!J12="Yes",1,0)</f>
        <v>0</v>
      </c>
      <c r="I14" s="11">
        <f>B̳ases!M12</f>
        <v>4</v>
      </c>
      <c r="J14" s="11">
        <f>B̳ases!L12</f>
        <v>1</v>
      </c>
      <c r="K14" s="9" t="str">
        <f>B̳ases!G12</f>
        <v>Monthly</v>
      </c>
      <c r="L14" s="11">
        <f>IFERROR(VALUE(B̳ases!I12),0)</f>
        <v>0</v>
      </c>
      <c r="M14" s="11">
        <f>B̳ases!K12</f>
        <v>0</v>
      </c>
      <c r="N14" s="6"/>
      <c r="O14" s="6"/>
      <c r="P14" s="6"/>
      <c r="Q14" s="6"/>
    </row>
    <row r="15" spans="1:17" ht="16.5" x14ac:dyDescent="0.3">
      <c r="A15" s="8">
        <f>B̳ases!A13</f>
        <v>3242</v>
      </c>
      <c r="B15" s="9" t="str">
        <f>B̳ases!C13</f>
        <v>Ultimate</v>
      </c>
      <c r="C15" s="10">
        <f>B̳ases!D13</f>
        <v>45359</v>
      </c>
      <c r="D15" s="9" t="str">
        <f t="shared" si="0"/>
        <v>mar</v>
      </c>
      <c r="E15" s="8">
        <f t="shared" si="1"/>
        <v>3</v>
      </c>
      <c r="F15" s="8">
        <f>IF(B̳ases!E13="Yes",1,0)</f>
        <v>1</v>
      </c>
      <c r="G15" s="8">
        <f>IF(B̳ases!H13="Yes",1,0)</f>
        <v>1</v>
      </c>
      <c r="H15" s="8">
        <f>IF(B̳ases!J13="Yes",1,0)</f>
        <v>1</v>
      </c>
      <c r="I15" s="11">
        <f>B̳ases!M13</f>
        <v>45</v>
      </c>
      <c r="J15" s="11">
        <f>B̳ases!L13</f>
        <v>20</v>
      </c>
      <c r="K15" s="9" t="str">
        <f>B̳ases!G13</f>
        <v>Annual</v>
      </c>
      <c r="L15" s="11">
        <f>IFERROR(VALUE(B̳ases!I13),0)</f>
        <v>30</v>
      </c>
      <c r="M15" s="11">
        <f>B̳ases!K13</f>
        <v>20</v>
      </c>
      <c r="N15" s="6"/>
      <c r="O15" s="6"/>
      <c r="P15" s="6"/>
      <c r="Q15" s="6"/>
    </row>
    <row r="16" spans="1:17" ht="16.5" x14ac:dyDescent="0.3">
      <c r="A16" s="8">
        <f>B̳ases!A14</f>
        <v>3243</v>
      </c>
      <c r="B16" s="9" t="str">
        <f>B̳ases!C14</f>
        <v>Standard</v>
      </c>
      <c r="C16" s="10">
        <f>B̳ases!D14</f>
        <v>45360</v>
      </c>
      <c r="D16" s="9" t="str">
        <f t="shared" si="0"/>
        <v>mar</v>
      </c>
      <c r="E16" s="8">
        <f t="shared" si="1"/>
        <v>3</v>
      </c>
      <c r="F16" s="8">
        <f>IF(B̳ases!E14="Yes",1,0)</f>
        <v>0</v>
      </c>
      <c r="G16" s="8">
        <f>IF(B̳ases!H14="Yes",1,0)</f>
        <v>0</v>
      </c>
      <c r="H16" s="8">
        <f>IF(B̳ases!J14="Yes",1,0)</f>
        <v>1</v>
      </c>
      <c r="I16" s="11">
        <f>B̳ases!M14</f>
        <v>20</v>
      </c>
      <c r="J16" s="11">
        <f>B̳ases!L14</f>
        <v>10</v>
      </c>
      <c r="K16" s="9" t="str">
        <f>B̳ases!G14</f>
        <v>Monthly</v>
      </c>
      <c r="L16" s="11">
        <f>IFERROR(VALUE(B̳ases!I14),0)</f>
        <v>0</v>
      </c>
      <c r="M16" s="11">
        <f>B̳ases!K14</f>
        <v>20</v>
      </c>
      <c r="N16" s="6"/>
      <c r="O16" s="6"/>
      <c r="P16" s="6"/>
      <c r="Q16" s="6"/>
    </row>
    <row r="17" spans="1:17" ht="16.5" x14ac:dyDescent="0.3">
      <c r="A17" s="8">
        <f>B̳ases!A15</f>
        <v>3244</v>
      </c>
      <c r="B17" s="9" t="str">
        <f>B̳ases!C15</f>
        <v>Core</v>
      </c>
      <c r="C17" s="10">
        <f>B̳ases!D15</f>
        <v>45361</v>
      </c>
      <c r="D17" s="9" t="str">
        <f t="shared" si="0"/>
        <v>mar</v>
      </c>
      <c r="E17" s="8">
        <f t="shared" si="1"/>
        <v>3</v>
      </c>
      <c r="F17" s="8">
        <f>IF(B̳ases!E15="Yes",1,0)</f>
        <v>1</v>
      </c>
      <c r="G17" s="8">
        <f>IF(B̳ases!H15="Yes",1,0)</f>
        <v>0</v>
      </c>
      <c r="H17" s="8">
        <f>IF(B̳ases!J15="Yes",1,0)</f>
        <v>0</v>
      </c>
      <c r="I17" s="11">
        <f>B̳ases!M15</f>
        <v>5</v>
      </c>
      <c r="J17" s="11">
        <f>B̳ases!L15</f>
        <v>0</v>
      </c>
      <c r="K17" s="9" t="str">
        <f>B̳ases!G15</f>
        <v>Quarterly</v>
      </c>
      <c r="L17" s="11">
        <f>IFERROR(VALUE(B̳ases!I15),0)</f>
        <v>0</v>
      </c>
      <c r="M17" s="11">
        <f>B̳ases!K15</f>
        <v>0</v>
      </c>
      <c r="N17" s="6"/>
      <c r="O17" s="6"/>
      <c r="P17" s="6"/>
      <c r="Q17" s="6"/>
    </row>
    <row r="18" spans="1:17" ht="16.5" x14ac:dyDescent="0.3">
      <c r="A18" s="8">
        <f>B̳ases!A16</f>
        <v>3245</v>
      </c>
      <c r="B18" s="9" t="str">
        <f>B̳ases!C16</f>
        <v>Ultimate</v>
      </c>
      <c r="C18" s="10">
        <f>B̳ases!D16</f>
        <v>45362</v>
      </c>
      <c r="D18" s="9" t="str">
        <f t="shared" si="0"/>
        <v>mar</v>
      </c>
      <c r="E18" s="8">
        <f t="shared" si="1"/>
        <v>3</v>
      </c>
      <c r="F18" s="8">
        <f>IF(B̳ases!E16="Yes",1,0)</f>
        <v>0</v>
      </c>
      <c r="G18" s="8">
        <f>IF(B̳ases!H16="Yes",1,0)</f>
        <v>1</v>
      </c>
      <c r="H18" s="8">
        <f>IF(B̳ases!J16="Yes",1,0)</f>
        <v>1</v>
      </c>
      <c r="I18" s="11">
        <f>B̳ases!M16</f>
        <v>57</v>
      </c>
      <c r="J18" s="11">
        <f>B̳ases!L16</f>
        <v>8</v>
      </c>
      <c r="K18" s="9" t="str">
        <f>B̳ases!G16</f>
        <v>Monthly</v>
      </c>
      <c r="L18" s="11">
        <f>IFERROR(VALUE(B̳ases!I16),0)</f>
        <v>30</v>
      </c>
      <c r="M18" s="11">
        <f>B̳ases!K16</f>
        <v>20</v>
      </c>
      <c r="N18" s="6"/>
      <c r="O18" s="6"/>
      <c r="P18" s="6"/>
      <c r="Q18" s="6"/>
    </row>
    <row r="19" spans="1:17" ht="16.5" x14ac:dyDescent="0.3">
      <c r="A19" s="8">
        <f>B̳ases!A17</f>
        <v>3246</v>
      </c>
      <c r="B19" s="9" t="str">
        <f>B̳ases!C17</f>
        <v>Standard</v>
      </c>
      <c r="C19" s="10">
        <f>B̳ases!D17</f>
        <v>45363</v>
      </c>
      <c r="D19" s="9" t="str">
        <f t="shared" si="0"/>
        <v>mar</v>
      </c>
      <c r="E19" s="8">
        <f t="shared" si="1"/>
        <v>3</v>
      </c>
      <c r="F19" s="8">
        <f>IF(B̳ases!E17="Yes",1,0)</f>
        <v>1</v>
      </c>
      <c r="G19" s="8">
        <f>IF(B̳ases!H17="Yes",1,0)</f>
        <v>0</v>
      </c>
      <c r="H19" s="8">
        <f>IF(B̳ases!J17="Yes",1,0)</f>
        <v>1</v>
      </c>
      <c r="I19" s="11">
        <f>B̳ases!M17</f>
        <v>18</v>
      </c>
      <c r="J19" s="11">
        <f>B̳ases!L17</f>
        <v>12</v>
      </c>
      <c r="K19" s="9" t="str">
        <f>B̳ases!G17</f>
        <v>Annual</v>
      </c>
      <c r="L19" s="11">
        <f>IFERROR(VALUE(B̳ases!I17),0)</f>
        <v>0</v>
      </c>
      <c r="M19" s="11">
        <f>B̳ases!K17</f>
        <v>20</v>
      </c>
      <c r="N19" s="6"/>
      <c r="O19" s="6"/>
      <c r="P19" s="6"/>
      <c r="Q19" s="6"/>
    </row>
    <row r="20" spans="1:17" ht="16.5" x14ac:dyDescent="0.3">
      <c r="A20" s="8">
        <f>B̳ases!A18</f>
        <v>3247</v>
      </c>
      <c r="B20" s="9" t="str">
        <f>B̳ases!C18</f>
        <v>Core</v>
      </c>
      <c r="C20" s="10">
        <f>B̳ases!D18</f>
        <v>45364</v>
      </c>
      <c r="D20" s="9" t="str">
        <f t="shared" si="0"/>
        <v>mar</v>
      </c>
      <c r="E20" s="8">
        <f t="shared" si="1"/>
        <v>3</v>
      </c>
      <c r="F20" s="8">
        <f>IF(B̳ases!E18="Yes",1,0)</f>
        <v>0</v>
      </c>
      <c r="G20" s="8">
        <f>IF(B̳ases!H18="Yes",1,0)</f>
        <v>0</v>
      </c>
      <c r="H20" s="8">
        <f>IF(B̳ases!J18="Yes",1,0)</f>
        <v>0</v>
      </c>
      <c r="I20" s="11">
        <f>B̳ases!M18</f>
        <v>3</v>
      </c>
      <c r="J20" s="11">
        <f>B̳ases!L18</f>
        <v>2</v>
      </c>
      <c r="K20" s="9" t="str">
        <f>B̳ases!G18</f>
        <v>Monthly</v>
      </c>
      <c r="L20" s="11">
        <f>IFERROR(VALUE(B̳ases!I18),0)</f>
        <v>0</v>
      </c>
      <c r="M20" s="11">
        <f>B̳ases!K18</f>
        <v>0</v>
      </c>
      <c r="N20" s="6"/>
      <c r="O20" s="6"/>
      <c r="P20" s="6"/>
      <c r="Q20" s="6"/>
    </row>
    <row r="21" spans="1:17" ht="16.5" x14ac:dyDescent="0.3">
      <c r="A21" s="8">
        <f>B̳ases!A19</f>
        <v>3248</v>
      </c>
      <c r="B21" s="9" t="str">
        <f>B̳ases!C19</f>
        <v>Ultimate</v>
      </c>
      <c r="C21" s="10">
        <f>B̳ases!D19</f>
        <v>45365</v>
      </c>
      <c r="D21" s="9" t="str">
        <f t="shared" si="0"/>
        <v>mar</v>
      </c>
      <c r="E21" s="8">
        <f t="shared" si="1"/>
        <v>3</v>
      </c>
      <c r="F21" s="8">
        <f>IF(B̳ases!E19="Yes",1,0)</f>
        <v>1</v>
      </c>
      <c r="G21" s="8">
        <f>IF(B̳ases!H19="Yes",1,0)</f>
        <v>1</v>
      </c>
      <c r="H21" s="8">
        <f>IF(B̳ases!J19="Yes",1,0)</f>
        <v>1</v>
      </c>
      <c r="I21" s="11">
        <f>B̳ases!M19</f>
        <v>58</v>
      </c>
      <c r="J21" s="11">
        <f>B̳ases!L19</f>
        <v>7</v>
      </c>
      <c r="K21" s="9" t="str">
        <f>B̳ases!G19</f>
        <v>Quarterly</v>
      </c>
      <c r="L21" s="11">
        <f>IFERROR(VALUE(B̳ases!I19),0)</f>
        <v>30</v>
      </c>
      <c r="M21" s="11">
        <f>B̳ases!K19</f>
        <v>20</v>
      </c>
      <c r="N21" s="6"/>
      <c r="O21" s="6"/>
      <c r="P21" s="6"/>
      <c r="Q21" s="6"/>
    </row>
    <row r="22" spans="1:17" ht="16.5" x14ac:dyDescent="0.3">
      <c r="A22" s="8">
        <f>B̳ases!A20</f>
        <v>3249</v>
      </c>
      <c r="B22" s="9" t="str">
        <f>B̳ases!C20</f>
        <v>Standard</v>
      </c>
      <c r="C22" s="10">
        <f>B̳ases!D20</f>
        <v>45366</v>
      </c>
      <c r="D22" s="9" t="str">
        <f t="shared" si="0"/>
        <v>mar</v>
      </c>
      <c r="E22" s="8">
        <f t="shared" si="1"/>
        <v>3</v>
      </c>
      <c r="F22" s="8">
        <f>IF(B̳ases!E20="Yes",1,0)</f>
        <v>0</v>
      </c>
      <c r="G22" s="8">
        <f>IF(B̳ases!H20="Yes",1,0)</f>
        <v>0</v>
      </c>
      <c r="H22" s="8">
        <f>IF(B̳ases!J20="Yes",1,0)</f>
        <v>1</v>
      </c>
      <c r="I22" s="11">
        <f>B̳ases!M20</f>
        <v>25</v>
      </c>
      <c r="J22" s="11">
        <f>B̳ases!L20</f>
        <v>5</v>
      </c>
      <c r="K22" s="9" t="str">
        <f>B̳ases!G20</f>
        <v>Monthly</v>
      </c>
      <c r="L22" s="11">
        <f>IFERROR(VALUE(B̳ases!I20),0)</f>
        <v>0</v>
      </c>
      <c r="M22" s="11">
        <f>B̳ases!K20</f>
        <v>20</v>
      </c>
      <c r="N22" s="6"/>
      <c r="O22" s="6"/>
      <c r="P22" s="6"/>
      <c r="Q22" s="6"/>
    </row>
    <row r="23" spans="1:17" ht="16.5" x14ac:dyDescent="0.3">
      <c r="A23" s="8">
        <f>B̳ases!A21</f>
        <v>3250</v>
      </c>
      <c r="B23" s="9" t="str">
        <f>B̳ases!C21</f>
        <v>Core</v>
      </c>
      <c r="C23" s="10">
        <f>B̳ases!D21</f>
        <v>45367</v>
      </c>
      <c r="D23" s="9" t="str">
        <f t="shared" si="0"/>
        <v>mar</v>
      </c>
      <c r="E23" s="8">
        <f t="shared" si="1"/>
        <v>3</v>
      </c>
      <c r="F23" s="8">
        <f>IF(B̳ases!E21="Yes",1,0)</f>
        <v>1</v>
      </c>
      <c r="G23" s="8">
        <f>IF(B̳ases!H21="Yes",1,0)</f>
        <v>0</v>
      </c>
      <c r="H23" s="8">
        <f>IF(B̳ases!J21="Yes",1,0)</f>
        <v>0</v>
      </c>
      <c r="I23" s="11">
        <f>B̳ases!M21</f>
        <v>5</v>
      </c>
      <c r="J23" s="11">
        <f>B̳ases!L21</f>
        <v>0</v>
      </c>
      <c r="K23" s="9" t="str">
        <f>B̳ases!G21</f>
        <v>Annual</v>
      </c>
      <c r="L23" s="11">
        <f>IFERROR(VALUE(B̳ases!I21),0)</f>
        <v>0</v>
      </c>
      <c r="M23" s="11">
        <f>B̳ases!K21</f>
        <v>0</v>
      </c>
      <c r="N23" s="6"/>
      <c r="O23" s="6"/>
      <c r="P23" s="6"/>
      <c r="Q23" s="6"/>
    </row>
    <row r="24" spans="1:17" ht="16.5" x14ac:dyDescent="0.3">
      <c r="A24" s="8">
        <f>B̳ases!A22</f>
        <v>3251</v>
      </c>
      <c r="B24" s="9" t="str">
        <f>B̳ases!C22</f>
        <v>Ultimate</v>
      </c>
      <c r="C24" s="10">
        <f>B̳ases!D22</f>
        <v>45368</v>
      </c>
      <c r="D24" s="9" t="str">
        <f t="shared" si="0"/>
        <v>mar</v>
      </c>
      <c r="E24" s="8">
        <f t="shared" si="1"/>
        <v>3</v>
      </c>
      <c r="F24" s="8">
        <f>IF(B̳ases!E22="Yes",1,0)</f>
        <v>0</v>
      </c>
      <c r="G24" s="8">
        <f>IF(B̳ases!H22="Yes",1,0)</f>
        <v>1</v>
      </c>
      <c r="H24" s="8">
        <f>IF(B̳ases!J22="Yes",1,0)</f>
        <v>1</v>
      </c>
      <c r="I24" s="11">
        <f>B̳ases!M22</f>
        <v>62</v>
      </c>
      <c r="J24" s="11">
        <f>B̳ases!L22</f>
        <v>3</v>
      </c>
      <c r="K24" s="9" t="str">
        <f>B̳ases!G22</f>
        <v>Monthly</v>
      </c>
      <c r="L24" s="11">
        <f>IFERROR(VALUE(B̳ases!I22),0)</f>
        <v>30</v>
      </c>
      <c r="M24" s="11">
        <f>B̳ases!K22</f>
        <v>20</v>
      </c>
      <c r="N24" s="6"/>
      <c r="O24" s="6"/>
      <c r="P24" s="6"/>
      <c r="Q24" s="6"/>
    </row>
    <row r="25" spans="1:17" ht="16.5" x14ac:dyDescent="0.3">
      <c r="A25" s="8">
        <f>B̳ases!A23</f>
        <v>3252</v>
      </c>
      <c r="B25" s="9" t="str">
        <f>B̳ases!C23</f>
        <v>Standard</v>
      </c>
      <c r="C25" s="10">
        <f>B̳ases!D23</f>
        <v>45369</v>
      </c>
      <c r="D25" s="9" t="str">
        <f t="shared" si="0"/>
        <v>mar</v>
      </c>
      <c r="E25" s="8">
        <f t="shared" si="1"/>
        <v>3</v>
      </c>
      <c r="F25" s="8">
        <f>IF(B̳ases!E23="Yes",1,0)</f>
        <v>1</v>
      </c>
      <c r="G25" s="8">
        <f>IF(B̳ases!H23="Yes",1,0)</f>
        <v>0</v>
      </c>
      <c r="H25" s="8">
        <f>IF(B̳ases!J23="Yes",1,0)</f>
        <v>1</v>
      </c>
      <c r="I25" s="11">
        <f>B̳ases!M23</f>
        <v>15</v>
      </c>
      <c r="J25" s="11">
        <f>B̳ases!L23</f>
        <v>15</v>
      </c>
      <c r="K25" s="9" t="str">
        <f>B̳ases!G23</f>
        <v>Quarterly</v>
      </c>
      <c r="L25" s="11">
        <f>IFERROR(VALUE(B̳ases!I23),0)</f>
        <v>0</v>
      </c>
      <c r="M25" s="11">
        <f>B̳ases!K23</f>
        <v>20</v>
      </c>
      <c r="N25" s="6"/>
      <c r="O25" s="6"/>
      <c r="P25" s="6"/>
      <c r="Q25" s="6"/>
    </row>
    <row r="26" spans="1:17" ht="16.5" x14ac:dyDescent="0.3">
      <c r="A26" s="8">
        <f>B̳ases!A24</f>
        <v>3253</v>
      </c>
      <c r="B26" s="9" t="str">
        <f>B̳ases!C24</f>
        <v>Core</v>
      </c>
      <c r="C26" s="10">
        <f>B̳ases!D24</f>
        <v>45370</v>
      </c>
      <c r="D26" s="9" t="str">
        <f t="shared" si="0"/>
        <v>mar</v>
      </c>
      <c r="E26" s="8">
        <f t="shared" si="1"/>
        <v>3</v>
      </c>
      <c r="F26" s="8">
        <f>IF(B̳ases!E24="Yes",1,0)</f>
        <v>0</v>
      </c>
      <c r="G26" s="8">
        <f>IF(B̳ases!H24="Yes",1,0)</f>
        <v>0</v>
      </c>
      <c r="H26" s="8">
        <f>IF(B̳ases!J24="Yes",1,0)</f>
        <v>0</v>
      </c>
      <c r="I26" s="11">
        <f>B̳ases!M24</f>
        <v>4</v>
      </c>
      <c r="J26" s="11">
        <f>B̳ases!L24</f>
        <v>1</v>
      </c>
      <c r="K26" s="9" t="str">
        <f>B̳ases!G24</f>
        <v>Monthly</v>
      </c>
      <c r="L26" s="11">
        <f>IFERROR(VALUE(B̳ases!I24),0)</f>
        <v>0</v>
      </c>
      <c r="M26" s="11">
        <f>B̳ases!K24</f>
        <v>0</v>
      </c>
      <c r="N26" s="6"/>
      <c r="O26" s="6"/>
      <c r="P26" s="6"/>
      <c r="Q26" s="6"/>
    </row>
    <row r="27" spans="1:17" ht="16.5" x14ac:dyDescent="0.3">
      <c r="A27" s="8">
        <f>B̳ases!A25</f>
        <v>3254</v>
      </c>
      <c r="B27" s="9" t="str">
        <f>B̳ases!C25</f>
        <v>Ultimate</v>
      </c>
      <c r="C27" s="10">
        <f>B̳ases!D25</f>
        <v>45371</v>
      </c>
      <c r="D27" s="9" t="str">
        <f t="shared" si="0"/>
        <v>mar</v>
      </c>
      <c r="E27" s="8">
        <f t="shared" si="1"/>
        <v>3</v>
      </c>
      <c r="F27" s="8">
        <f>IF(B̳ases!E25="Yes",1,0)</f>
        <v>1</v>
      </c>
      <c r="G27" s="8">
        <f>IF(B̳ases!H25="Yes",1,0)</f>
        <v>1</v>
      </c>
      <c r="H27" s="8">
        <f>IF(B̳ases!J25="Yes",1,0)</f>
        <v>1</v>
      </c>
      <c r="I27" s="11">
        <f>B̳ases!M25</f>
        <v>45</v>
      </c>
      <c r="J27" s="11">
        <f>B̳ases!L25</f>
        <v>20</v>
      </c>
      <c r="K27" s="9" t="str">
        <f>B̳ases!G25</f>
        <v>Annual</v>
      </c>
      <c r="L27" s="11">
        <f>IFERROR(VALUE(B̳ases!I25),0)</f>
        <v>30</v>
      </c>
      <c r="M27" s="11">
        <f>B̳ases!K25</f>
        <v>20</v>
      </c>
      <c r="N27" s="6"/>
      <c r="O27" s="6"/>
      <c r="P27" s="6"/>
      <c r="Q27" s="6"/>
    </row>
    <row r="28" spans="1:17" ht="16.5" x14ac:dyDescent="0.3">
      <c r="A28" s="8">
        <f>B̳ases!A26</f>
        <v>3255</v>
      </c>
      <c r="B28" s="9" t="str">
        <f>B̳ases!C26</f>
        <v>Standard</v>
      </c>
      <c r="C28" s="10">
        <f>B̳ases!D26</f>
        <v>45372</v>
      </c>
      <c r="D28" s="9" t="str">
        <f t="shared" si="0"/>
        <v>mar</v>
      </c>
      <c r="E28" s="8">
        <f t="shared" si="1"/>
        <v>3</v>
      </c>
      <c r="F28" s="8">
        <f>IF(B̳ases!E26="Yes",1,0)</f>
        <v>0</v>
      </c>
      <c r="G28" s="8">
        <f>IF(B̳ases!H26="Yes",1,0)</f>
        <v>0</v>
      </c>
      <c r="H28" s="8">
        <f>IF(B̳ases!J26="Yes",1,0)</f>
        <v>1</v>
      </c>
      <c r="I28" s="11">
        <f>B̳ases!M26</f>
        <v>20</v>
      </c>
      <c r="J28" s="11">
        <f>B̳ases!L26</f>
        <v>10</v>
      </c>
      <c r="K28" s="9" t="str">
        <f>B̳ases!G26</f>
        <v>Monthly</v>
      </c>
      <c r="L28" s="11">
        <f>IFERROR(VALUE(B̳ases!I26),0)</f>
        <v>0</v>
      </c>
      <c r="M28" s="11">
        <f>B̳ases!K26</f>
        <v>20</v>
      </c>
      <c r="N28" s="6"/>
      <c r="O28" s="6"/>
      <c r="P28" s="6"/>
      <c r="Q28" s="6"/>
    </row>
    <row r="29" spans="1:17" ht="16.5" x14ac:dyDescent="0.3">
      <c r="A29" s="8">
        <f>B̳ases!A27</f>
        <v>3256</v>
      </c>
      <c r="B29" s="9" t="str">
        <f>B̳ases!C27</f>
        <v>Core</v>
      </c>
      <c r="C29" s="10">
        <f>B̳ases!D27</f>
        <v>45373</v>
      </c>
      <c r="D29" s="9" t="str">
        <f t="shared" si="0"/>
        <v>mar</v>
      </c>
      <c r="E29" s="8">
        <f t="shared" si="1"/>
        <v>3</v>
      </c>
      <c r="F29" s="8">
        <f>IF(B̳ases!E27="Yes",1,0)</f>
        <v>1</v>
      </c>
      <c r="G29" s="8">
        <f>IF(B̳ases!H27="Yes",1,0)</f>
        <v>0</v>
      </c>
      <c r="H29" s="8">
        <f>IF(B̳ases!J27="Yes",1,0)</f>
        <v>0</v>
      </c>
      <c r="I29" s="11">
        <f>B̳ases!M27</f>
        <v>5</v>
      </c>
      <c r="J29" s="11">
        <f>B̳ases!L27</f>
        <v>0</v>
      </c>
      <c r="K29" s="9" t="str">
        <f>B̳ases!G27</f>
        <v>Quarterly</v>
      </c>
      <c r="L29" s="11">
        <f>IFERROR(VALUE(B̳ases!I27),0)</f>
        <v>0</v>
      </c>
      <c r="M29" s="11">
        <f>B̳ases!K27</f>
        <v>0</v>
      </c>
      <c r="N29" s="6"/>
      <c r="O29" s="6"/>
      <c r="P29" s="6"/>
      <c r="Q29" s="6"/>
    </row>
    <row r="30" spans="1:17" ht="16.5" x14ac:dyDescent="0.3">
      <c r="A30" s="8">
        <f>B̳ases!A28</f>
        <v>3257</v>
      </c>
      <c r="B30" s="9" t="str">
        <f>B̳ases!C28</f>
        <v>Ultimate</v>
      </c>
      <c r="C30" s="10">
        <f>B̳ases!D28</f>
        <v>45374</v>
      </c>
      <c r="D30" s="9" t="str">
        <f t="shared" si="0"/>
        <v>mar</v>
      </c>
      <c r="E30" s="8">
        <f t="shared" si="1"/>
        <v>3</v>
      </c>
      <c r="F30" s="8">
        <f>IF(B̳ases!E28="Yes",1,0)</f>
        <v>0</v>
      </c>
      <c r="G30" s="8">
        <f>IF(B̳ases!H28="Yes",1,0)</f>
        <v>1</v>
      </c>
      <c r="H30" s="8">
        <f>IF(B̳ases!J28="Yes",1,0)</f>
        <v>1</v>
      </c>
      <c r="I30" s="11">
        <f>B̳ases!M28</f>
        <v>60</v>
      </c>
      <c r="J30" s="11">
        <f>B̳ases!L28</f>
        <v>5</v>
      </c>
      <c r="K30" s="9" t="str">
        <f>B̳ases!G28</f>
        <v>Monthly</v>
      </c>
      <c r="L30" s="11">
        <f>IFERROR(VALUE(B̳ases!I28),0)</f>
        <v>30</v>
      </c>
      <c r="M30" s="11">
        <f>B̳ases!K28</f>
        <v>20</v>
      </c>
      <c r="N30" s="6"/>
      <c r="O30" s="6"/>
      <c r="P30" s="6"/>
      <c r="Q30" s="6"/>
    </row>
    <row r="31" spans="1:17" ht="16.5" x14ac:dyDescent="0.3">
      <c r="A31" s="8">
        <f>B̳ases!A29</f>
        <v>3258</v>
      </c>
      <c r="B31" s="9" t="str">
        <f>B̳ases!C29</f>
        <v>Standard</v>
      </c>
      <c r="C31" s="10">
        <f>B̳ases!D29</f>
        <v>45375</v>
      </c>
      <c r="D31" s="9" t="str">
        <f t="shared" si="0"/>
        <v>mar</v>
      </c>
      <c r="E31" s="8">
        <f t="shared" si="1"/>
        <v>3</v>
      </c>
      <c r="F31" s="8">
        <f>IF(B̳ases!E29="Yes",1,0)</f>
        <v>1</v>
      </c>
      <c r="G31" s="8">
        <f>IF(B̳ases!H29="Yes",1,0)</f>
        <v>0</v>
      </c>
      <c r="H31" s="8">
        <f>IF(B̳ases!J29="Yes",1,0)</f>
        <v>1</v>
      </c>
      <c r="I31" s="11">
        <f>B̳ases!M29</f>
        <v>15</v>
      </c>
      <c r="J31" s="11">
        <f>B̳ases!L29</f>
        <v>15</v>
      </c>
      <c r="K31" s="9" t="str">
        <f>B̳ases!G29</f>
        <v>Annual</v>
      </c>
      <c r="L31" s="11">
        <f>IFERROR(VALUE(B̳ases!I29),0)</f>
        <v>0</v>
      </c>
      <c r="M31" s="11">
        <f>B̳ases!K29</f>
        <v>20</v>
      </c>
      <c r="N31" s="6"/>
      <c r="O31" s="6"/>
      <c r="P31" s="6"/>
      <c r="Q31" s="6"/>
    </row>
    <row r="32" spans="1:17" ht="16.5" x14ac:dyDescent="0.3">
      <c r="A32" s="8">
        <f>B̳ases!A30</f>
        <v>3259</v>
      </c>
      <c r="B32" s="9" t="str">
        <f>B̳ases!C30</f>
        <v>Core</v>
      </c>
      <c r="C32" s="10">
        <f>B̳ases!D30</f>
        <v>45376</v>
      </c>
      <c r="D32" s="9" t="str">
        <f t="shared" si="0"/>
        <v>mar</v>
      </c>
      <c r="E32" s="8">
        <f t="shared" si="1"/>
        <v>3</v>
      </c>
      <c r="F32" s="8">
        <f>IF(B̳ases!E30="Yes",1,0)</f>
        <v>0</v>
      </c>
      <c r="G32" s="8">
        <f>IF(B̳ases!H30="Yes",1,0)</f>
        <v>0</v>
      </c>
      <c r="H32" s="8">
        <f>IF(B̳ases!J30="Yes",1,0)</f>
        <v>0</v>
      </c>
      <c r="I32" s="11">
        <f>B̳ases!M30</f>
        <v>4</v>
      </c>
      <c r="J32" s="11">
        <f>B̳ases!L30</f>
        <v>1</v>
      </c>
      <c r="K32" s="9" t="str">
        <f>B̳ases!G30</f>
        <v>Monthly</v>
      </c>
      <c r="L32" s="11">
        <f>IFERROR(VALUE(B̳ases!I30),0)</f>
        <v>0</v>
      </c>
      <c r="M32" s="11">
        <f>B̳ases!K30</f>
        <v>0</v>
      </c>
      <c r="N32" s="6"/>
      <c r="O32" s="6"/>
      <c r="P32" s="6"/>
      <c r="Q32" s="6"/>
    </row>
    <row r="33" spans="1:17" ht="16.5" x14ac:dyDescent="0.3">
      <c r="A33" s="8">
        <f>B̳ases!A31</f>
        <v>3260</v>
      </c>
      <c r="B33" s="9" t="str">
        <f>B̳ases!C31</f>
        <v>Ultimate</v>
      </c>
      <c r="C33" s="10">
        <f>B̳ases!D31</f>
        <v>45377</v>
      </c>
      <c r="D33" s="9" t="str">
        <f t="shared" si="0"/>
        <v>mar</v>
      </c>
      <c r="E33" s="8">
        <f t="shared" si="1"/>
        <v>3</v>
      </c>
      <c r="F33" s="8">
        <f>IF(B̳ases!E31="Yes",1,0)</f>
        <v>1</v>
      </c>
      <c r="G33" s="8">
        <f>IF(B̳ases!H31="Yes",1,0)</f>
        <v>1</v>
      </c>
      <c r="H33" s="8">
        <f>IF(B̳ases!J31="Yes",1,0)</f>
        <v>1</v>
      </c>
      <c r="I33" s="11">
        <f>B̳ases!M31</f>
        <v>58</v>
      </c>
      <c r="J33" s="11">
        <f>B̳ases!L31</f>
        <v>7</v>
      </c>
      <c r="K33" s="9" t="str">
        <f>B̳ases!G31</f>
        <v>Quarterly</v>
      </c>
      <c r="L33" s="11">
        <f>IFERROR(VALUE(B̳ases!I31),0)</f>
        <v>30</v>
      </c>
      <c r="M33" s="11">
        <f>B̳ases!K31</f>
        <v>20</v>
      </c>
      <c r="N33" s="6"/>
      <c r="O33" s="6"/>
      <c r="P33" s="6"/>
      <c r="Q33" s="6"/>
    </row>
    <row r="34" spans="1:17" ht="16.5" x14ac:dyDescent="0.3">
      <c r="A34" s="8">
        <f>B̳ases!A32</f>
        <v>3261</v>
      </c>
      <c r="B34" s="9" t="str">
        <f>B̳ases!C32</f>
        <v>Standard</v>
      </c>
      <c r="C34" s="10">
        <f>B̳ases!D32</f>
        <v>45378</v>
      </c>
      <c r="D34" s="9" t="str">
        <f t="shared" si="0"/>
        <v>mar</v>
      </c>
      <c r="E34" s="8">
        <f t="shared" si="1"/>
        <v>3</v>
      </c>
      <c r="F34" s="8">
        <f>IF(B̳ases!E32="Yes",1,0)</f>
        <v>0</v>
      </c>
      <c r="G34" s="8">
        <f>IF(B̳ases!H32="Yes",1,0)</f>
        <v>0</v>
      </c>
      <c r="H34" s="8">
        <f>IF(B̳ases!J32="Yes",1,0)</f>
        <v>1</v>
      </c>
      <c r="I34" s="11">
        <f>B̳ases!M32</f>
        <v>20</v>
      </c>
      <c r="J34" s="11">
        <f>B̳ases!L32</f>
        <v>10</v>
      </c>
      <c r="K34" s="9" t="str">
        <f>B̳ases!G32</f>
        <v>Monthly</v>
      </c>
      <c r="L34" s="11">
        <f>IFERROR(VALUE(B̳ases!I32),0)</f>
        <v>0</v>
      </c>
      <c r="M34" s="11">
        <f>B̳ases!K32</f>
        <v>20</v>
      </c>
      <c r="N34" s="6"/>
      <c r="O34" s="6"/>
      <c r="P34" s="6"/>
      <c r="Q34" s="6"/>
    </row>
    <row r="35" spans="1:17" ht="16.5" x14ac:dyDescent="0.3">
      <c r="A35" s="8">
        <f>B̳ases!A33</f>
        <v>3262</v>
      </c>
      <c r="B35" s="9" t="str">
        <f>B̳ases!C33</f>
        <v>Core</v>
      </c>
      <c r="C35" s="10">
        <f>B̳ases!D33</f>
        <v>45379</v>
      </c>
      <c r="D35" s="9" t="str">
        <f t="shared" si="0"/>
        <v>mar</v>
      </c>
      <c r="E35" s="8">
        <f t="shared" si="1"/>
        <v>3</v>
      </c>
      <c r="F35" s="8">
        <f>IF(B̳ases!E33="Yes",1,0)</f>
        <v>1</v>
      </c>
      <c r="G35" s="8">
        <f>IF(B̳ases!H33="Yes",1,0)</f>
        <v>0</v>
      </c>
      <c r="H35" s="8">
        <f>IF(B̳ases!J33="Yes",1,0)</f>
        <v>0</v>
      </c>
      <c r="I35" s="11">
        <f>B̳ases!M33</f>
        <v>5</v>
      </c>
      <c r="J35" s="11">
        <f>B̳ases!L33</f>
        <v>0</v>
      </c>
      <c r="K35" s="9" t="str">
        <f>B̳ases!G33</f>
        <v>Annual</v>
      </c>
      <c r="L35" s="11">
        <f>IFERROR(VALUE(B̳ases!I33),0)</f>
        <v>0</v>
      </c>
      <c r="M35" s="11">
        <f>B̳ases!K33</f>
        <v>0</v>
      </c>
      <c r="N35" s="6"/>
      <c r="O35" s="6"/>
      <c r="P35" s="6"/>
      <c r="Q35" s="6"/>
    </row>
    <row r="36" spans="1:17" ht="16.5" x14ac:dyDescent="0.3">
      <c r="A36" s="8">
        <f>B̳ases!A34</f>
        <v>3263</v>
      </c>
      <c r="B36" s="9" t="str">
        <f>B̳ases!C34</f>
        <v>Ultimate</v>
      </c>
      <c r="C36" s="10">
        <f>B̳ases!D34</f>
        <v>45380</v>
      </c>
      <c r="D36" s="9" t="str">
        <f t="shared" si="0"/>
        <v>mar</v>
      </c>
      <c r="E36" s="8">
        <f t="shared" si="1"/>
        <v>3</v>
      </c>
      <c r="F36" s="8">
        <f>IF(B̳ases!E34="Yes",1,0)</f>
        <v>0</v>
      </c>
      <c r="G36" s="8">
        <f>IF(B̳ases!H34="Yes",1,0)</f>
        <v>1</v>
      </c>
      <c r="H36" s="8">
        <f>IF(B̳ases!J34="Yes",1,0)</f>
        <v>1</v>
      </c>
      <c r="I36" s="11">
        <f>B̳ases!M34</f>
        <v>62</v>
      </c>
      <c r="J36" s="11">
        <f>B̳ases!L34</f>
        <v>3</v>
      </c>
      <c r="K36" s="9" t="str">
        <f>B̳ases!G34</f>
        <v>Monthly</v>
      </c>
      <c r="L36" s="11">
        <f>IFERROR(VALUE(B̳ases!I34),0)</f>
        <v>30</v>
      </c>
      <c r="M36" s="11">
        <f>B̳ases!K34</f>
        <v>20</v>
      </c>
      <c r="N36" s="6"/>
      <c r="O36" s="6"/>
      <c r="P36" s="6"/>
      <c r="Q36" s="6"/>
    </row>
    <row r="37" spans="1:17" ht="16.5" x14ac:dyDescent="0.3">
      <c r="A37" s="8">
        <f>B̳ases!A35</f>
        <v>3264</v>
      </c>
      <c r="B37" s="9" t="str">
        <f>B̳ases!C35</f>
        <v>Standard</v>
      </c>
      <c r="C37" s="10">
        <f>B̳ases!D35</f>
        <v>45381</v>
      </c>
      <c r="D37" s="9" t="str">
        <f t="shared" si="0"/>
        <v>mar</v>
      </c>
      <c r="E37" s="8">
        <f t="shared" si="1"/>
        <v>3</v>
      </c>
      <c r="F37" s="8">
        <f>IF(B̳ases!E35="Yes",1,0)</f>
        <v>1</v>
      </c>
      <c r="G37" s="8">
        <f>IF(B̳ases!H35="Yes",1,0)</f>
        <v>0</v>
      </c>
      <c r="H37" s="8">
        <f>IF(B̳ases!J35="Yes",1,0)</f>
        <v>1</v>
      </c>
      <c r="I37" s="11">
        <f>B̳ases!M35</f>
        <v>15</v>
      </c>
      <c r="J37" s="11">
        <f>B̳ases!L35</f>
        <v>15</v>
      </c>
      <c r="K37" s="9" t="str">
        <f>B̳ases!G35</f>
        <v>Quarterly</v>
      </c>
      <c r="L37" s="11">
        <f>IFERROR(VALUE(B̳ases!I35),0)</f>
        <v>0</v>
      </c>
      <c r="M37" s="11">
        <f>B̳ases!K35</f>
        <v>20</v>
      </c>
      <c r="N37" s="6"/>
      <c r="O37" s="6"/>
      <c r="P37" s="6"/>
      <c r="Q37" s="6"/>
    </row>
    <row r="38" spans="1:17" ht="16.5" x14ac:dyDescent="0.3">
      <c r="A38" s="8">
        <f>B̳ases!A36</f>
        <v>3265</v>
      </c>
      <c r="B38" s="9" t="str">
        <f>B̳ases!C36</f>
        <v>Core</v>
      </c>
      <c r="C38" s="10">
        <f>B̳ases!D36</f>
        <v>45382</v>
      </c>
      <c r="D38" s="9" t="str">
        <f t="shared" si="0"/>
        <v>mar</v>
      </c>
      <c r="E38" s="8">
        <f t="shared" si="1"/>
        <v>3</v>
      </c>
      <c r="F38" s="8">
        <f>IF(B̳ases!E36="Yes",1,0)</f>
        <v>0</v>
      </c>
      <c r="G38" s="8">
        <f>IF(B̳ases!H36="Yes",1,0)</f>
        <v>0</v>
      </c>
      <c r="H38" s="8">
        <f>IF(B̳ases!J36="Yes",1,0)</f>
        <v>0</v>
      </c>
      <c r="I38" s="11">
        <f>B̳ases!M36</f>
        <v>4</v>
      </c>
      <c r="J38" s="11">
        <f>B̳ases!L36</f>
        <v>1</v>
      </c>
      <c r="K38" s="9" t="str">
        <f>B̳ases!G36</f>
        <v>Monthly</v>
      </c>
      <c r="L38" s="11">
        <f>IFERROR(VALUE(B̳ases!I36),0)</f>
        <v>0</v>
      </c>
      <c r="M38" s="11">
        <f>B̳ases!K36</f>
        <v>0</v>
      </c>
      <c r="N38" s="6"/>
      <c r="O38" s="6"/>
      <c r="P38" s="6"/>
      <c r="Q38" s="6"/>
    </row>
    <row r="39" spans="1:17" ht="16.5" x14ac:dyDescent="0.3">
      <c r="A39" s="8">
        <f>B̳ases!A37</f>
        <v>3266</v>
      </c>
      <c r="B39" s="9" t="str">
        <f>B̳ases!C37</f>
        <v>Core</v>
      </c>
      <c r="C39" s="10">
        <f>B̳ases!D37</f>
        <v>45383</v>
      </c>
      <c r="D39" s="9" t="str">
        <f t="shared" si="0"/>
        <v>abr</v>
      </c>
      <c r="E39" s="8">
        <f t="shared" si="1"/>
        <v>4</v>
      </c>
      <c r="F39" s="8">
        <f>IF(B̳ases!E37="Yes",1,0)</f>
        <v>1</v>
      </c>
      <c r="G39" s="8">
        <f>IF(B̳ases!H37="Yes",1,0)</f>
        <v>0</v>
      </c>
      <c r="H39" s="8">
        <f>IF(B̳ases!J37="Yes",1,0)</f>
        <v>0</v>
      </c>
      <c r="I39" s="11">
        <f>B̳ases!M37</f>
        <v>5</v>
      </c>
      <c r="J39" s="11">
        <f>B̳ases!L37</f>
        <v>0</v>
      </c>
      <c r="K39" s="9" t="str">
        <f>B̳ases!G37</f>
        <v>Monthly</v>
      </c>
      <c r="L39" s="11">
        <f>IFERROR(VALUE(B̳ases!I37),0)</f>
        <v>0</v>
      </c>
      <c r="M39" s="11">
        <f>B̳ases!K37</f>
        <v>0</v>
      </c>
      <c r="N39" s="6"/>
      <c r="O39" s="6"/>
      <c r="P39" s="6"/>
      <c r="Q39" s="6"/>
    </row>
    <row r="40" spans="1:17" ht="16.5" x14ac:dyDescent="0.3">
      <c r="A40" s="8">
        <f>B̳ases!A38</f>
        <v>3267</v>
      </c>
      <c r="B40" s="9" t="str">
        <f>B̳ases!C38</f>
        <v>Ultimate</v>
      </c>
      <c r="C40" s="10">
        <f>B̳ases!D38</f>
        <v>45384</v>
      </c>
      <c r="D40" s="9" t="str">
        <f t="shared" si="0"/>
        <v>abr</v>
      </c>
      <c r="E40" s="8">
        <f t="shared" si="1"/>
        <v>4</v>
      </c>
      <c r="F40" s="8">
        <f>IF(B̳ases!E38="Yes",1,0)</f>
        <v>0</v>
      </c>
      <c r="G40" s="8">
        <f>IF(B̳ases!H38="Yes",1,0)</f>
        <v>1</v>
      </c>
      <c r="H40" s="8">
        <f>IF(B̳ases!J38="Yes",1,0)</f>
        <v>1</v>
      </c>
      <c r="I40" s="11">
        <f>B̳ases!M38</f>
        <v>58</v>
      </c>
      <c r="J40" s="11">
        <f>B̳ases!L38</f>
        <v>7</v>
      </c>
      <c r="K40" s="9" t="str">
        <f>B̳ases!G38</f>
        <v>Quarterly</v>
      </c>
      <c r="L40" s="11">
        <f>IFERROR(VALUE(B̳ases!I38),0)</f>
        <v>30</v>
      </c>
      <c r="M40" s="11">
        <f>B̳ases!K38</f>
        <v>20</v>
      </c>
      <c r="N40" s="6"/>
      <c r="O40" s="6"/>
      <c r="P40" s="6"/>
      <c r="Q40" s="6"/>
    </row>
    <row r="41" spans="1:17" ht="16.5" x14ac:dyDescent="0.3">
      <c r="A41" s="8">
        <f>B̳ases!A39</f>
        <v>3268</v>
      </c>
      <c r="B41" s="9" t="str">
        <f>B̳ases!C39</f>
        <v>Standard</v>
      </c>
      <c r="C41" s="10">
        <f>B̳ases!D39</f>
        <v>45385</v>
      </c>
      <c r="D41" s="9" t="str">
        <f t="shared" si="0"/>
        <v>abr</v>
      </c>
      <c r="E41" s="8">
        <f t="shared" si="1"/>
        <v>4</v>
      </c>
      <c r="F41" s="8">
        <f>IF(B̳ases!E39="Yes",1,0)</f>
        <v>1</v>
      </c>
      <c r="G41" s="8">
        <f>IF(B̳ases!H39="Yes",1,0)</f>
        <v>0</v>
      </c>
      <c r="H41" s="8">
        <f>IF(B̳ases!J39="Yes",1,0)</f>
        <v>1</v>
      </c>
      <c r="I41" s="11">
        <f>B̳ases!M39</f>
        <v>20</v>
      </c>
      <c r="J41" s="11">
        <f>B̳ases!L39</f>
        <v>10</v>
      </c>
      <c r="K41" s="9" t="str">
        <f>B̳ases!G39</f>
        <v>Annual</v>
      </c>
      <c r="L41" s="11">
        <f>IFERROR(VALUE(B̳ases!I39),0)</f>
        <v>0</v>
      </c>
      <c r="M41" s="11">
        <f>B̳ases!K39</f>
        <v>20</v>
      </c>
      <c r="N41" s="6"/>
      <c r="O41" s="6"/>
      <c r="P41" s="6"/>
      <c r="Q41" s="6"/>
    </row>
    <row r="42" spans="1:17" ht="16.5" x14ac:dyDescent="0.3">
      <c r="A42" s="8">
        <f>B̳ases!A40</f>
        <v>3269</v>
      </c>
      <c r="B42" s="9" t="str">
        <f>B̳ases!C40</f>
        <v>Core</v>
      </c>
      <c r="C42" s="10">
        <f>B̳ases!D40</f>
        <v>45386</v>
      </c>
      <c r="D42" s="9" t="str">
        <f t="shared" si="0"/>
        <v>abr</v>
      </c>
      <c r="E42" s="8">
        <f t="shared" si="1"/>
        <v>4</v>
      </c>
      <c r="F42" s="8">
        <f>IF(B̳ases!E40="Yes",1,0)</f>
        <v>0</v>
      </c>
      <c r="G42" s="8">
        <f>IF(B̳ases!H40="Yes",1,0)</f>
        <v>0</v>
      </c>
      <c r="H42" s="8">
        <f>IF(B̳ases!J40="Yes",1,0)</f>
        <v>0</v>
      </c>
      <c r="I42" s="11">
        <f>B̳ases!M40</f>
        <v>4</v>
      </c>
      <c r="J42" s="11">
        <f>B̳ases!L40</f>
        <v>1</v>
      </c>
      <c r="K42" s="9" t="str">
        <f>B̳ases!G40</f>
        <v>Quarterly</v>
      </c>
      <c r="L42" s="11">
        <f>IFERROR(VALUE(B̳ases!I40),0)</f>
        <v>0</v>
      </c>
      <c r="M42" s="11">
        <f>B̳ases!K40</f>
        <v>0</v>
      </c>
      <c r="N42" s="6"/>
      <c r="O42" s="6"/>
      <c r="P42" s="6"/>
      <c r="Q42" s="6"/>
    </row>
    <row r="43" spans="1:17" ht="16.5" x14ac:dyDescent="0.3">
      <c r="A43" s="8">
        <f>B̳ases!A41</f>
        <v>3270</v>
      </c>
      <c r="B43" s="9" t="str">
        <f>B̳ases!C41</f>
        <v>Ultimate</v>
      </c>
      <c r="C43" s="10">
        <f>B̳ases!D41</f>
        <v>45387</v>
      </c>
      <c r="D43" s="9" t="str">
        <f t="shared" si="0"/>
        <v>abr</v>
      </c>
      <c r="E43" s="8">
        <f t="shared" si="1"/>
        <v>4</v>
      </c>
      <c r="F43" s="8">
        <f>IF(B̳ases!E41="Yes",1,0)</f>
        <v>1</v>
      </c>
      <c r="G43" s="8">
        <f>IF(B̳ases!H41="Yes",1,0)</f>
        <v>1</v>
      </c>
      <c r="H43" s="8">
        <f>IF(B̳ases!J41="Yes",1,0)</f>
        <v>1</v>
      </c>
      <c r="I43" s="11">
        <f>B̳ases!M41</f>
        <v>50</v>
      </c>
      <c r="J43" s="11">
        <f>B̳ases!L41</f>
        <v>15</v>
      </c>
      <c r="K43" s="9" t="str">
        <f>B̳ases!G41</f>
        <v>Monthly</v>
      </c>
      <c r="L43" s="11">
        <f>IFERROR(VALUE(B̳ases!I41),0)</f>
        <v>30</v>
      </c>
      <c r="M43" s="11">
        <f>B̳ases!K41</f>
        <v>20</v>
      </c>
      <c r="N43" s="6"/>
      <c r="O43" s="6"/>
      <c r="P43" s="6"/>
      <c r="Q43" s="6"/>
    </row>
    <row r="44" spans="1:17" ht="16.5" x14ac:dyDescent="0.3">
      <c r="A44" s="8">
        <f>B̳ases!A42</f>
        <v>3271</v>
      </c>
      <c r="B44" s="9" t="str">
        <f>B̳ases!C42</f>
        <v>Standard</v>
      </c>
      <c r="C44" s="10">
        <f>B̳ases!D42</f>
        <v>45388</v>
      </c>
      <c r="D44" s="9" t="str">
        <f t="shared" si="0"/>
        <v>abr</v>
      </c>
      <c r="E44" s="8">
        <f t="shared" si="1"/>
        <v>4</v>
      </c>
      <c r="F44" s="8">
        <f>IF(B̳ases!E42="Yes",1,0)</f>
        <v>0</v>
      </c>
      <c r="G44" s="8">
        <f>IF(B̳ases!H42="Yes",1,0)</f>
        <v>0</v>
      </c>
      <c r="H44" s="8">
        <f>IF(B̳ases!J42="Yes",1,0)</f>
        <v>1</v>
      </c>
      <c r="I44" s="11">
        <f>B̳ases!M42</f>
        <v>25</v>
      </c>
      <c r="J44" s="11">
        <f>B̳ases!L42</f>
        <v>5</v>
      </c>
      <c r="K44" s="9" t="str">
        <f>B̳ases!G42</f>
        <v>Monthly</v>
      </c>
      <c r="L44" s="11">
        <f>IFERROR(VALUE(B̳ases!I42),0)</f>
        <v>0</v>
      </c>
      <c r="M44" s="11">
        <f>B̳ases!K42</f>
        <v>20</v>
      </c>
      <c r="N44" s="6"/>
      <c r="O44" s="6"/>
      <c r="P44" s="6"/>
      <c r="Q44" s="6"/>
    </row>
    <row r="45" spans="1:17" ht="16.5" x14ac:dyDescent="0.3">
      <c r="A45" s="8">
        <f>B̳ases!A43</f>
        <v>3272</v>
      </c>
      <c r="B45" s="9" t="str">
        <f>B̳ases!C43</f>
        <v>Core</v>
      </c>
      <c r="C45" s="10">
        <f>B̳ases!D43</f>
        <v>45389</v>
      </c>
      <c r="D45" s="9" t="str">
        <f t="shared" si="0"/>
        <v>abr</v>
      </c>
      <c r="E45" s="8">
        <f t="shared" si="1"/>
        <v>4</v>
      </c>
      <c r="F45" s="8">
        <f>IF(B̳ases!E43="Yes",1,0)</f>
        <v>1</v>
      </c>
      <c r="G45" s="8">
        <f>IF(B̳ases!H43="Yes",1,0)</f>
        <v>0</v>
      </c>
      <c r="H45" s="8">
        <f>IF(B̳ases!J43="Yes",1,0)</f>
        <v>0</v>
      </c>
      <c r="I45" s="11">
        <f>B̳ases!M43</f>
        <v>5</v>
      </c>
      <c r="J45" s="11">
        <f>B̳ases!L43</f>
        <v>0</v>
      </c>
      <c r="K45" s="9" t="str">
        <f>B̳ases!G43</f>
        <v>Annual</v>
      </c>
      <c r="L45" s="11">
        <f>IFERROR(VALUE(B̳ases!I43),0)</f>
        <v>0</v>
      </c>
      <c r="M45" s="11">
        <f>B̳ases!K43</f>
        <v>0</v>
      </c>
      <c r="N45" s="6"/>
      <c r="O45" s="6"/>
      <c r="P45" s="6"/>
      <c r="Q45" s="6"/>
    </row>
    <row r="46" spans="1:17" ht="16.5" x14ac:dyDescent="0.3">
      <c r="A46" s="8">
        <f>B̳ases!A44</f>
        <v>3273</v>
      </c>
      <c r="B46" s="9" t="str">
        <f>B̳ases!C44</f>
        <v>Ultimate</v>
      </c>
      <c r="C46" s="10">
        <f>B̳ases!D44</f>
        <v>45390</v>
      </c>
      <c r="D46" s="9" t="str">
        <f t="shared" si="0"/>
        <v>abr</v>
      </c>
      <c r="E46" s="8">
        <f t="shared" si="1"/>
        <v>4</v>
      </c>
      <c r="F46" s="8">
        <f>IF(B̳ases!E44="Yes",1,0)</f>
        <v>0</v>
      </c>
      <c r="G46" s="8">
        <f>IF(B̳ases!H44="Yes",1,0)</f>
        <v>1</v>
      </c>
      <c r="H46" s="8">
        <f>IF(B̳ases!J44="Yes",1,0)</f>
        <v>1</v>
      </c>
      <c r="I46" s="11">
        <f>B̳ases!M44</f>
        <v>45</v>
      </c>
      <c r="J46" s="11">
        <f>B̳ases!L44</f>
        <v>20</v>
      </c>
      <c r="K46" s="9" t="str">
        <f>B̳ases!G44</f>
        <v>Quarterly</v>
      </c>
      <c r="L46" s="11">
        <f>IFERROR(VALUE(B̳ases!I44),0)</f>
        <v>30</v>
      </c>
      <c r="M46" s="11">
        <f>B̳ases!K44</f>
        <v>20</v>
      </c>
      <c r="N46" s="6"/>
      <c r="O46" s="6"/>
      <c r="P46" s="6"/>
      <c r="Q46" s="6"/>
    </row>
    <row r="47" spans="1:17" ht="16.5" x14ac:dyDescent="0.3">
      <c r="A47" s="8">
        <f>B̳ases!A45</f>
        <v>3274</v>
      </c>
      <c r="B47" s="9" t="str">
        <f>B̳ases!C45</f>
        <v>Standard</v>
      </c>
      <c r="C47" s="10">
        <f>B̳ases!D45</f>
        <v>45391</v>
      </c>
      <c r="D47" s="9" t="str">
        <f t="shared" si="0"/>
        <v>abr</v>
      </c>
      <c r="E47" s="8">
        <f t="shared" si="1"/>
        <v>4</v>
      </c>
      <c r="F47" s="8">
        <f>IF(B̳ases!E45="Yes",1,0)</f>
        <v>1</v>
      </c>
      <c r="G47" s="8">
        <f>IF(B̳ases!H45="Yes",1,0)</f>
        <v>0</v>
      </c>
      <c r="H47" s="8">
        <f>IF(B̳ases!J45="Yes",1,0)</f>
        <v>1</v>
      </c>
      <c r="I47" s="11">
        <f>B̳ases!M45</f>
        <v>18</v>
      </c>
      <c r="J47" s="11">
        <f>B̳ases!L45</f>
        <v>12</v>
      </c>
      <c r="K47" s="9" t="str">
        <f>B̳ases!G45</f>
        <v>Quarterly</v>
      </c>
      <c r="L47" s="11">
        <f>IFERROR(VALUE(B̳ases!I45),0)</f>
        <v>0</v>
      </c>
      <c r="M47" s="11">
        <f>B̳ases!K45</f>
        <v>20</v>
      </c>
      <c r="N47" s="6"/>
      <c r="O47" s="6"/>
      <c r="P47" s="6"/>
      <c r="Q47" s="6"/>
    </row>
    <row r="48" spans="1:17" ht="16.5" x14ac:dyDescent="0.3">
      <c r="A48" s="8">
        <f>B̳ases!A46</f>
        <v>3275</v>
      </c>
      <c r="B48" s="9" t="str">
        <f>B̳ases!C46</f>
        <v>Core</v>
      </c>
      <c r="C48" s="10">
        <f>B̳ases!D46</f>
        <v>45392</v>
      </c>
      <c r="D48" s="9" t="str">
        <f t="shared" si="0"/>
        <v>abr</v>
      </c>
      <c r="E48" s="8">
        <f t="shared" si="1"/>
        <v>4</v>
      </c>
      <c r="F48" s="8">
        <f>IF(B̳ases!E46="Yes",1,0)</f>
        <v>0</v>
      </c>
      <c r="G48" s="8">
        <f>IF(B̳ases!H46="Yes",1,0)</f>
        <v>0</v>
      </c>
      <c r="H48" s="8">
        <f>IF(B̳ases!J46="Yes",1,0)</f>
        <v>0</v>
      </c>
      <c r="I48" s="11">
        <f>B̳ases!M46</f>
        <v>3</v>
      </c>
      <c r="J48" s="11">
        <f>B̳ases!L46</f>
        <v>2</v>
      </c>
      <c r="K48" s="9" t="str">
        <f>B̳ases!G46</f>
        <v>Monthly</v>
      </c>
      <c r="L48" s="11">
        <f>IFERROR(VALUE(B̳ases!I46),0)</f>
        <v>0</v>
      </c>
      <c r="M48" s="11">
        <f>B̳ases!K46</f>
        <v>0</v>
      </c>
      <c r="N48" s="6"/>
      <c r="O48" s="6"/>
      <c r="P48" s="6"/>
      <c r="Q48" s="6"/>
    </row>
    <row r="49" spans="1:17" ht="16.5" x14ac:dyDescent="0.3">
      <c r="A49" s="8">
        <f>B̳ases!A47</f>
        <v>3276</v>
      </c>
      <c r="B49" s="9" t="str">
        <f>B̳ases!C47</f>
        <v>Ultimate</v>
      </c>
      <c r="C49" s="10">
        <f>B̳ases!D47</f>
        <v>45393</v>
      </c>
      <c r="D49" s="9" t="str">
        <f t="shared" si="0"/>
        <v>abr</v>
      </c>
      <c r="E49" s="8">
        <f t="shared" si="1"/>
        <v>4</v>
      </c>
      <c r="F49" s="8">
        <f>IF(B̳ases!E47="Yes",1,0)</f>
        <v>1</v>
      </c>
      <c r="G49" s="8">
        <f>IF(B̳ases!H47="Yes",1,0)</f>
        <v>1</v>
      </c>
      <c r="H49" s="8">
        <f>IF(B̳ases!J47="Yes",1,0)</f>
        <v>1</v>
      </c>
      <c r="I49" s="11">
        <f>B̳ases!M47</f>
        <v>60</v>
      </c>
      <c r="J49" s="11">
        <f>B̳ases!L47</f>
        <v>5</v>
      </c>
      <c r="K49" s="9" t="str">
        <f>B̳ases!G47</f>
        <v>Annual</v>
      </c>
      <c r="L49" s="11">
        <f>IFERROR(VALUE(B̳ases!I47),0)</f>
        <v>30</v>
      </c>
      <c r="M49" s="11">
        <f>B̳ases!K47</f>
        <v>20</v>
      </c>
      <c r="N49" s="6"/>
      <c r="O49" s="6"/>
      <c r="P49" s="6"/>
      <c r="Q49" s="6"/>
    </row>
    <row r="50" spans="1:17" ht="16.5" x14ac:dyDescent="0.3">
      <c r="A50" s="8">
        <f>B̳ases!A48</f>
        <v>3277</v>
      </c>
      <c r="B50" s="9" t="str">
        <f>B̳ases!C48</f>
        <v>Standard</v>
      </c>
      <c r="C50" s="10">
        <f>B̳ases!D48</f>
        <v>45394</v>
      </c>
      <c r="D50" s="9" t="str">
        <f t="shared" si="0"/>
        <v>abr</v>
      </c>
      <c r="E50" s="8">
        <f t="shared" si="1"/>
        <v>4</v>
      </c>
      <c r="F50" s="8">
        <f>IF(B̳ases!E48="Yes",1,0)</f>
        <v>0</v>
      </c>
      <c r="G50" s="8">
        <f>IF(B̳ases!H48="Yes",1,0)</f>
        <v>0</v>
      </c>
      <c r="H50" s="8">
        <f>IF(B̳ases!J48="Yes",1,0)</f>
        <v>1</v>
      </c>
      <c r="I50" s="11">
        <f>B̳ases!M48</f>
        <v>20</v>
      </c>
      <c r="J50" s="11">
        <f>B̳ases!L48</f>
        <v>10</v>
      </c>
      <c r="K50" s="9" t="str">
        <f>B̳ases!G48</f>
        <v>Monthly</v>
      </c>
      <c r="L50" s="11">
        <f>IFERROR(VALUE(B̳ases!I48),0)</f>
        <v>0</v>
      </c>
      <c r="M50" s="11">
        <f>B̳ases!K48</f>
        <v>20</v>
      </c>
      <c r="N50" s="6"/>
      <c r="O50" s="6"/>
      <c r="P50" s="6"/>
      <c r="Q50" s="6"/>
    </row>
    <row r="51" spans="1:17" ht="16.5" x14ac:dyDescent="0.3">
      <c r="A51" s="8">
        <f>B̳ases!A49</f>
        <v>3278</v>
      </c>
      <c r="B51" s="9" t="str">
        <f>B̳ases!C49</f>
        <v>Core</v>
      </c>
      <c r="C51" s="10">
        <f>B̳ases!D49</f>
        <v>45395</v>
      </c>
      <c r="D51" s="9" t="str">
        <f t="shared" si="0"/>
        <v>abr</v>
      </c>
      <c r="E51" s="8">
        <f t="shared" si="1"/>
        <v>4</v>
      </c>
      <c r="F51" s="8">
        <f>IF(B̳ases!E49="Yes",1,0)</f>
        <v>1</v>
      </c>
      <c r="G51" s="8">
        <f>IF(B̳ases!H49="Yes",1,0)</f>
        <v>0</v>
      </c>
      <c r="H51" s="8">
        <f>IF(B̳ases!J49="Yes",1,0)</f>
        <v>0</v>
      </c>
      <c r="I51" s="11">
        <f>B̳ases!M49</f>
        <v>5</v>
      </c>
      <c r="J51" s="11">
        <f>B̳ases!L49</f>
        <v>0</v>
      </c>
      <c r="K51" s="9" t="str">
        <f>B̳ases!G49</f>
        <v>Quarterly</v>
      </c>
      <c r="L51" s="11">
        <f>IFERROR(VALUE(B̳ases!I49),0)</f>
        <v>0</v>
      </c>
      <c r="M51" s="11">
        <f>B̳ases!K49</f>
        <v>0</v>
      </c>
      <c r="N51" s="6"/>
      <c r="O51" s="6"/>
      <c r="P51" s="6"/>
      <c r="Q51" s="6"/>
    </row>
    <row r="52" spans="1:17" ht="16.5" x14ac:dyDescent="0.3">
      <c r="A52" s="8">
        <f>B̳ases!A50</f>
        <v>3279</v>
      </c>
      <c r="B52" s="9" t="str">
        <f>B̳ases!C50</f>
        <v>Ultimate</v>
      </c>
      <c r="C52" s="10">
        <f>B̳ases!D50</f>
        <v>45396</v>
      </c>
      <c r="D52" s="9" t="str">
        <f t="shared" si="0"/>
        <v>abr</v>
      </c>
      <c r="E52" s="8">
        <f t="shared" si="1"/>
        <v>4</v>
      </c>
      <c r="F52" s="8">
        <f>IF(B̳ases!E50="Yes",1,0)</f>
        <v>0</v>
      </c>
      <c r="G52" s="8">
        <f>IF(B̳ases!H50="Yes",1,0)</f>
        <v>1</v>
      </c>
      <c r="H52" s="8">
        <f>IF(B̳ases!J50="Yes",1,0)</f>
        <v>1</v>
      </c>
      <c r="I52" s="11">
        <f>B̳ases!M50</f>
        <v>62</v>
      </c>
      <c r="J52" s="11">
        <f>B̳ases!L50</f>
        <v>3</v>
      </c>
      <c r="K52" s="9" t="str">
        <f>B̳ases!G50</f>
        <v>Monthly</v>
      </c>
      <c r="L52" s="11">
        <f>IFERROR(VALUE(B̳ases!I50),0)</f>
        <v>30</v>
      </c>
      <c r="M52" s="11">
        <f>B̳ases!K50</f>
        <v>20</v>
      </c>
      <c r="N52" s="6"/>
      <c r="O52" s="6"/>
      <c r="P52" s="6"/>
      <c r="Q52" s="6"/>
    </row>
    <row r="53" spans="1:17" ht="16.5" x14ac:dyDescent="0.3">
      <c r="A53" s="8">
        <f>B̳ases!A51</f>
        <v>3280</v>
      </c>
      <c r="B53" s="9" t="str">
        <f>B̳ases!C51</f>
        <v>Standard</v>
      </c>
      <c r="C53" s="10">
        <f>B̳ases!D51</f>
        <v>45397</v>
      </c>
      <c r="D53" s="9" t="str">
        <f t="shared" si="0"/>
        <v>abr</v>
      </c>
      <c r="E53" s="8">
        <f t="shared" si="1"/>
        <v>4</v>
      </c>
      <c r="F53" s="8">
        <f>IF(B̳ases!E51="Yes",1,0)</f>
        <v>1</v>
      </c>
      <c r="G53" s="8">
        <f>IF(B̳ases!H51="Yes",1,0)</f>
        <v>0</v>
      </c>
      <c r="H53" s="8">
        <f>IF(B̳ases!J51="Yes",1,0)</f>
        <v>1</v>
      </c>
      <c r="I53" s="11">
        <f>B̳ases!M51</f>
        <v>15</v>
      </c>
      <c r="J53" s="11">
        <f>B̳ases!L51</f>
        <v>15</v>
      </c>
      <c r="K53" s="9" t="str">
        <f>B̳ases!G51</f>
        <v>Annual</v>
      </c>
      <c r="L53" s="11">
        <f>IFERROR(VALUE(B̳ases!I51),0)</f>
        <v>0</v>
      </c>
      <c r="M53" s="11">
        <f>B̳ases!K51</f>
        <v>20</v>
      </c>
      <c r="N53" s="6"/>
      <c r="O53" s="6"/>
      <c r="P53" s="6"/>
      <c r="Q53" s="6"/>
    </row>
    <row r="54" spans="1:17" ht="16.5" x14ac:dyDescent="0.3">
      <c r="A54" s="8">
        <f>B̳ases!A52</f>
        <v>3281</v>
      </c>
      <c r="B54" s="9" t="str">
        <f>B̳ases!C52</f>
        <v>Core</v>
      </c>
      <c r="C54" s="10">
        <f>B̳ases!D52</f>
        <v>45398</v>
      </c>
      <c r="D54" s="9" t="str">
        <f t="shared" si="0"/>
        <v>abr</v>
      </c>
      <c r="E54" s="8">
        <f t="shared" si="1"/>
        <v>4</v>
      </c>
      <c r="F54" s="8">
        <f>IF(B̳ases!E52="Yes",1,0)</f>
        <v>0</v>
      </c>
      <c r="G54" s="8">
        <f>IF(B̳ases!H52="Yes",1,0)</f>
        <v>0</v>
      </c>
      <c r="H54" s="8">
        <f>IF(B̳ases!J52="Yes",1,0)</f>
        <v>0</v>
      </c>
      <c r="I54" s="11">
        <f>B̳ases!M52</f>
        <v>4</v>
      </c>
      <c r="J54" s="11">
        <f>B̳ases!L52</f>
        <v>1</v>
      </c>
      <c r="K54" s="9" t="str">
        <f>B̳ases!G52</f>
        <v>Monthly</v>
      </c>
      <c r="L54" s="11">
        <f>IFERROR(VALUE(B̳ases!I52),0)</f>
        <v>0</v>
      </c>
      <c r="M54" s="11">
        <f>B̳ases!K52</f>
        <v>0</v>
      </c>
      <c r="N54" s="6"/>
      <c r="O54" s="6"/>
      <c r="P54" s="6"/>
      <c r="Q54" s="6"/>
    </row>
    <row r="55" spans="1:17" ht="16.5" x14ac:dyDescent="0.3">
      <c r="A55" s="8">
        <f>B̳ases!A53</f>
        <v>3282</v>
      </c>
      <c r="B55" s="9" t="str">
        <f>B̳ases!C53</f>
        <v>Ultimate</v>
      </c>
      <c r="C55" s="10">
        <f>B̳ases!D53</f>
        <v>45399</v>
      </c>
      <c r="D55" s="9" t="str">
        <f t="shared" si="0"/>
        <v>abr</v>
      </c>
      <c r="E55" s="8">
        <f t="shared" si="1"/>
        <v>4</v>
      </c>
      <c r="F55" s="8">
        <f>IF(B̳ases!E53="Yes",1,0)</f>
        <v>1</v>
      </c>
      <c r="G55" s="8">
        <f>IF(B̳ases!H53="Yes",1,0)</f>
        <v>1</v>
      </c>
      <c r="H55" s="8">
        <f>IF(B̳ases!J53="Yes",1,0)</f>
        <v>1</v>
      </c>
      <c r="I55" s="11">
        <f>B̳ases!M53</f>
        <v>58</v>
      </c>
      <c r="J55" s="11">
        <f>B̳ases!L53</f>
        <v>7</v>
      </c>
      <c r="K55" s="9" t="str">
        <f>B̳ases!G53</f>
        <v>Quarterly</v>
      </c>
      <c r="L55" s="11">
        <f>IFERROR(VALUE(B̳ases!I53),0)</f>
        <v>30</v>
      </c>
      <c r="M55" s="11">
        <f>B̳ases!K53</f>
        <v>20</v>
      </c>
      <c r="N55" s="6"/>
      <c r="O55" s="6"/>
      <c r="P55" s="6"/>
      <c r="Q55" s="6"/>
    </row>
    <row r="56" spans="1:17" ht="16.5" x14ac:dyDescent="0.3">
      <c r="A56" s="8">
        <f>B̳ases!A54</f>
        <v>3283</v>
      </c>
      <c r="B56" s="9" t="str">
        <f>B̳ases!C54</f>
        <v>Standard</v>
      </c>
      <c r="C56" s="10">
        <f>B̳ases!D54</f>
        <v>45400</v>
      </c>
      <c r="D56" s="9" t="str">
        <f t="shared" si="0"/>
        <v>abr</v>
      </c>
      <c r="E56" s="8">
        <f t="shared" si="1"/>
        <v>4</v>
      </c>
      <c r="F56" s="8">
        <f>IF(B̳ases!E54="Yes",1,0)</f>
        <v>0</v>
      </c>
      <c r="G56" s="8">
        <f>IF(B̳ases!H54="Yes",1,0)</f>
        <v>0</v>
      </c>
      <c r="H56" s="8">
        <f>IF(B̳ases!J54="Yes",1,0)</f>
        <v>1</v>
      </c>
      <c r="I56" s="11">
        <f>B̳ases!M54</f>
        <v>20</v>
      </c>
      <c r="J56" s="11">
        <f>B̳ases!L54</f>
        <v>10</v>
      </c>
      <c r="K56" s="9" t="str">
        <f>B̳ases!G54</f>
        <v>Monthly</v>
      </c>
      <c r="L56" s="11">
        <f>IFERROR(VALUE(B̳ases!I54),0)</f>
        <v>0</v>
      </c>
      <c r="M56" s="11">
        <f>B̳ases!K54</f>
        <v>20</v>
      </c>
      <c r="N56" s="6"/>
      <c r="O56" s="6"/>
      <c r="P56" s="6"/>
      <c r="Q56" s="6"/>
    </row>
    <row r="57" spans="1:17" ht="16.5" x14ac:dyDescent="0.3">
      <c r="A57" s="8">
        <f>B̳ases!A55</f>
        <v>3284</v>
      </c>
      <c r="B57" s="9" t="str">
        <f>B̳ases!C55</f>
        <v>Core</v>
      </c>
      <c r="C57" s="10">
        <f>B̳ases!D55</f>
        <v>45401</v>
      </c>
      <c r="D57" s="9" t="str">
        <f t="shared" si="0"/>
        <v>abr</v>
      </c>
      <c r="E57" s="8">
        <f t="shared" si="1"/>
        <v>4</v>
      </c>
      <c r="F57" s="8">
        <f>IF(B̳ases!E55="Yes",1,0)</f>
        <v>1</v>
      </c>
      <c r="G57" s="8">
        <f>IF(B̳ases!H55="Yes",1,0)</f>
        <v>0</v>
      </c>
      <c r="H57" s="8">
        <f>IF(B̳ases!J55="Yes",1,0)</f>
        <v>0</v>
      </c>
      <c r="I57" s="11">
        <f>B̳ases!M55</f>
        <v>5</v>
      </c>
      <c r="J57" s="11">
        <f>B̳ases!L55</f>
        <v>0</v>
      </c>
      <c r="K57" s="9" t="str">
        <f>B̳ases!G55</f>
        <v>Annual</v>
      </c>
      <c r="L57" s="11">
        <f>IFERROR(VALUE(B̳ases!I55),0)</f>
        <v>0</v>
      </c>
      <c r="M57" s="11">
        <f>B̳ases!K55</f>
        <v>0</v>
      </c>
      <c r="N57" s="6"/>
      <c r="O57" s="6"/>
      <c r="P57" s="6"/>
      <c r="Q57" s="6"/>
    </row>
    <row r="58" spans="1:17" ht="16.5" x14ac:dyDescent="0.3">
      <c r="A58" s="8">
        <f>B̳ases!A56</f>
        <v>3285</v>
      </c>
      <c r="B58" s="9" t="str">
        <f>B̳ases!C56</f>
        <v>Ultimate</v>
      </c>
      <c r="C58" s="10">
        <f>B̳ases!D56</f>
        <v>45402</v>
      </c>
      <c r="D58" s="9" t="str">
        <f t="shared" si="0"/>
        <v>abr</v>
      </c>
      <c r="E58" s="8">
        <f t="shared" si="1"/>
        <v>4</v>
      </c>
      <c r="F58" s="8">
        <f>IF(B̳ases!E56="Yes",1,0)</f>
        <v>0</v>
      </c>
      <c r="G58" s="8">
        <f>IF(B̳ases!H56="Yes",1,0)</f>
        <v>1</v>
      </c>
      <c r="H58" s="8">
        <f>IF(B̳ases!J56="Yes",1,0)</f>
        <v>1</v>
      </c>
      <c r="I58" s="11">
        <f>B̳ases!M56</f>
        <v>45</v>
      </c>
      <c r="J58" s="11">
        <f>B̳ases!L56</f>
        <v>20</v>
      </c>
      <c r="K58" s="9" t="str">
        <f>B̳ases!G56</f>
        <v>Monthly</v>
      </c>
      <c r="L58" s="11">
        <f>IFERROR(VALUE(B̳ases!I56),0)</f>
        <v>30</v>
      </c>
      <c r="M58" s="11">
        <f>B̳ases!K56</f>
        <v>20</v>
      </c>
      <c r="N58" s="6"/>
      <c r="O58" s="6"/>
      <c r="P58" s="6"/>
      <c r="Q58" s="6"/>
    </row>
    <row r="59" spans="1:17" ht="16.5" x14ac:dyDescent="0.3">
      <c r="A59" s="8">
        <f>B̳ases!A57</f>
        <v>3286</v>
      </c>
      <c r="B59" s="9" t="str">
        <f>B̳ases!C57</f>
        <v>Standard</v>
      </c>
      <c r="C59" s="10">
        <f>B̳ases!D57</f>
        <v>45403</v>
      </c>
      <c r="D59" s="9" t="str">
        <f t="shared" si="0"/>
        <v>abr</v>
      </c>
      <c r="E59" s="8">
        <f t="shared" si="1"/>
        <v>4</v>
      </c>
      <c r="F59" s="8">
        <f>IF(B̳ases!E57="Yes",1,0)</f>
        <v>1</v>
      </c>
      <c r="G59" s="8">
        <f>IF(B̳ases!H57="Yes",1,0)</f>
        <v>0</v>
      </c>
      <c r="H59" s="8">
        <f>IF(B̳ases!J57="Yes",1,0)</f>
        <v>1</v>
      </c>
      <c r="I59" s="11">
        <f>B̳ases!M57</f>
        <v>15</v>
      </c>
      <c r="J59" s="11">
        <f>B̳ases!L57</f>
        <v>15</v>
      </c>
      <c r="K59" s="9" t="str">
        <f>B̳ases!G57</f>
        <v>Quarterly</v>
      </c>
      <c r="L59" s="11">
        <f>IFERROR(VALUE(B̳ases!I57),0)</f>
        <v>0</v>
      </c>
      <c r="M59" s="11">
        <f>B̳ases!K57</f>
        <v>20</v>
      </c>
      <c r="N59" s="6"/>
      <c r="O59" s="6"/>
      <c r="P59" s="6"/>
      <c r="Q59" s="6"/>
    </row>
    <row r="60" spans="1:17" ht="16.5" x14ac:dyDescent="0.3">
      <c r="A60" s="8">
        <f>B̳ases!A58</f>
        <v>3287</v>
      </c>
      <c r="B60" s="9" t="str">
        <f>B̳ases!C58</f>
        <v>Core</v>
      </c>
      <c r="C60" s="10">
        <f>B̳ases!D58</f>
        <v>45404</v>
      </c>
      <c r="D60" s="9" t="str">
        <f t="shared" si="0"/>
        <v>abr</v>
      </c>
      <c r="E60" s="8">
        <f t="shared" si="1"/>
        <v>4</v>
      </c>
      <c r="F60" s="8">
        <f>IF(B̳ases!E58="Yes",1,0)</f>
        <v>0</v>
      </c>
      <c r="G60" s="8">
        <f>IF(B̳ases!H58="Yes",1,0)</f>
        <v>0</v>
      </c>
      <c r="H60" s="8">
        <f>IF(B̳ases!J58="Yes",1,0)</f>
        <v>0</v>
      </c>
      <c r="I60" s="11">
        <f>B̳ases!M58</f>
        <v>4</v>
      </c>
      <c r="J60" s="11">
        <f>B̳ases!L58</f>
        <v>1</v>
      </c>
      <c r="K60" s="9" t="str">
        <f>B̳ases!G58</f>
        <v>Monthly</v>
      </c>
      <c r="L60" s="11">
        <f>IFERROR(VALUE(B̳ases!I58),0)</f>
        <v>0</v>
      </c>
      <c r="M60" s="11">
        <f>B̳ases!K58</f>
        <v>0</v>
      </c>
      <c r="N60" s="6"/>
      <c r="O60" s="6"/>
      <c r="P60" s="6"/>
      <c r="Q60" s="6"/>
    </row>
    <row r="61" spans="1:17" ht="16.5" x14ac:dyDescent="0.3">
      <c r="A61" s="8">
        <f>B̳ases!A59</f>
        <v>3288</v>
      </c>
      <c r="B61" s="9" t="str">
        <f>B̳ases!C59</f>
        <v>Ultimate</v>
      </c>
      <c r="C61" s="10">
        <f>B̳ases!D59</f>
        <v>45405</v>
      </c>
      <c r="D61" s="9" t="str">
        <f t="shared" si="0"/>
        <v>abr</v>
      </c>
      <c r="E61" s="8">
        <f t="shared" si="1"/>
        <v>4</v>
      </c>
      <c r="F61" s="8">
        <f>IF(B̳ases!E59="Yes",1,0)</f>
        <v>1</v>
      </c>
      <c r="G61" s="8">
        <f>IF(B̳ases!H59="Yes",1,0)</f>
        <v>1</v>
      </c>
      <c r="H61" s="8">
        <f>IF(B̳ases!J59="Yes",1,0)</f>
        <v>1</v>
      </c>
      <c r="I61" s="11">
        <f>B̳ases!M59</f>
        <v>62</v>
      </c>
      <c r="J61" s="11">
        <f>B̳ases!L59</f>
        <v>3</v>
      </c>
      <c r="K61" s="9" t="str">
        <f>B̳ases!G59</f>
        <v>Annual</v>
      </c>
      <c r="L61" s="11">
        <f>IFERROR(VALUE(B̳ases!I59),0)</f>
        <v>30</v>
      </c>
      <c r="M61" s="11">
        <f>B̳ases!K59</f>
        <v>20</v>
      </c>
      <c r="N61" s="6"/>
      <c r="O61" s="6"/>
      <c r="P61" s="6"/>
      <c r="Q61" s="6"/>
    </row>
    <row r="62" spans="1:17" ht="16.5" x14ac:dyDescent="0.3">
      <c r="A62" s="8">
        <f>B̳ases!A60</f>
        <v>3289</v>
      </c>
      <c r="B62" s="9" t="str">
        <f>B̳ases!C60</f>
        <v>Standard</v>
      </c>
      <c r="C62" s="10">
        <f>B̳ases!D60</f>
        <v>45406</v>
      </c>
      <c r="D62" s="9" t="str">
        <f t="shared" si="0"/>
        <v>abr</v>
      </c>
      <c r="E62" s="8">
        <f t="shared" si="1"/>
        <v>4</v>
      </c>
      <c r="F62" s="8">
        <f>IF(B̳ases!E60="Yes",1,0)</f>
        <v>0</v>
      </c>
      <c r="G62" s="8">
        <f>IF(B̳ases!H60="Yes",1,0)</f>
        <v>0</v>
      </c>
      <c r="H62" s="8">
        <f>IF(B̳ases!J60="Yes",1,0)</f>
        <v>1</v>
      </c>
      <c r="I62" s="11">
        <f>B̳ases!M60</f>
        <v>20</v>
      </c>
      <c r="J62" s="11">
        <f>B̳ases!L60</f>
        <v>10</v>
      </c>
      <c r="K62" s="9" t="str">
        <f>B̳ases!G60</f>
        <v>Monthly</v>
      </c>
      <c r="L62" s="11">
        <f>IFERROR(VALUE(B̳ases!I60),0)</f>
        <v>0</v>
      </c>
      <c r="M62" s="11">
        <f>B̳ases!K60</f>
        <v>20</v>
      </c>
      <c r="N62" s="6"/>
      <c r="O62" s="6"/>
      <c r="P62" s="6"/>
      <c r="Q62" s="6"/>
    </row>
    <row r="63" spans="1:17" ht="16.5" x14ac:dyDescent="0.3">
      <c r="A63" s="8">
        <f>B̳ases!A61</f>
        <v>3290</v>
      </c>
      <c r="B63" s="9" t="str">
        <f>B̳ases!C61</f>
        <v>Core</v>
      </c>
      <c r="C63" s="10">
        <f>B̳ases!D61</f>
        <v>45407</v>
      </c>
      <c r="D63" s="9" t="str">
        <f t="shared" si="0"/>
        <v>abr</v>
      </c>
      <c r="E63" s="8">
        <f t="shared" si="1"/>
        <v>4</v>
      </c>
      <c r="F63" s="8">
        <f>IF(B̳ases!E61="Yes",1,0)</f>
        <v>1</v>
      </c>
      <c r="G63" s="8">
        <f>IF(B̳ases!H61="Yes",1,0)</f>
        <v>0</v>
      </c>
      <c r="H63" s="8">
        <f>IF(B̳ases!J61="Yes",1,0)</f>
        <v>0</v>
      </c>
      <c r="I63" s="11">
        <f>B̳ases!M61</f>
        <v>5</v>
      </c>
      <c r="J63" s="11">
        <f>B̳ases!L61</f>
        <v>0</v>
      </c>
      <c r="K63" s="9" t="str">
        <f>B̳ases!G61</f>
        <v>Quarterly</v>
      </c>
      <c r="L63" s="11">
        <f>IFERROR(VALUE(B̳ases!I61),0)</f>
        <v>0</v>
      </c>
      <c r="M63" s="11">
        <f>B̳ases!K61</f>
        <v>0</v>
      </c>
      <c r="N63" s="6"/>
      <c r="O63" s="6"/>
      <c r="P63" s="6"/>
      <c r="Q63" s="6"/>
    </row>
    <row r="64" spans="1:17" ht="16.5" x14ac:dyDescent="0.3">
      <c r="A64" s="8">
        <f>B̳ases!A62</f>
        <v>3291</v>
      </c>
      <c r="B64" s="9" t="str">
        <f>B̳ases!C62</f>
        <v>Ultimate</v>
      </c>
      <c r="C64" s="10">
        <f>B̳ases!D62</f>
        <v>45408</v>
      </c>
      <c r="D64" s="9" t="str">
        <f t="shared" si="0"/>
        <v>abr</v>
      </c>
      <c r="E64" s="8">
        <f t="shared" si="1"/>
        <v>4</v>
      </c>
      <c r="F64" s="8">
        <f>IF(B̳ases!E62="Yes",1,0)</f>
        <v>0</v>
      </c>
      <c r="G64" s="8">
        <f>IF(B̳ases!H62="Yes",1,0)</f>
        <v>1</v>
      </c>
      <c r="H64" s="8">
        <f>IF(B̳ases!J62="Yes",1,0)</f>
        <v>1</v>
      </c>
      <c r="I64" s="11">
        <f>B̳ases!M62</f>
        <v>60</v>
      </c>
      <c r="J64" s="11">
        <f>B̳ases!L62</f>
        <v>5</v>
      </c>
      <c r="K64" s="9" t="str">
        <f>B̳ases!G62</f>
        <v>Monthly</v>
      </c>
      <c r="L64" s="11">
        <f>IFERROR(VALUE(B̳ases!I62),0)</f>
        <v>30</v>
      </c>
      <c r="M64" s="11">
        <f>B̳ases!K62</f>
        <v>20</v>
      </c>
      <c r="N64" s="6"/>
      <c r="O64" s="6"/>
      <c r="P64" s="6"/>
      <c r="Q64" s="6"/>
    </row>
    <row r="65" spans="1:17" ht="16.5" x14ac:dyDescent="0.3">
      <c r="A65" s="8">
        <f>B̳ases!A63</f>
        <v>3292</v>
      </c>
      <c r="B65" s="9" t="str">
        <f>B̳ases!C63</f>
        <v>Standard</v>
      </c>
      <c r="C65" s="10">
        <f>B̳ases!D63</f>
        <v>45409</v>
      </c>
      <c r="D65" s="9" t="str">
        <f t="shared" si="0"/>
        <v>abr</v>
      </c>
      <c r="E65" s="8">
        <f t="shared" si="1"/>
        <v>4</v>
      </c>
      <c r="F65" s="8">
        <f>IF(B̳ases!E63="Yes",1,0)</f>
        <v>1</v>
      </c>
      <c r="G65" s="8">
        <f>IF(B̳ases!H63="Yes",1,0)</f>
        <v>0</v>
      </c>
      <c r="H65" s="8">
        <f>IF(B̳ases!J63="Yes",1,0)</f>
        <v>1</v>
      </c>
      <c r="I65" s="11">
        <f>B̳ases!M63</f>
        <v>15</v>
      </c>
      <c r="J65" s="11">
        <f>B̳ases!L63</f>
        <v>15</v>
      </c>
      <c r="K65" s="9" t="str">
        <f>B̳ases!G63</f>
        <v>Annual</v>
      </c>
      <c r="L65" s="11">
        <f>IFERROR(VALUE(B̳ases!I63),0)</f>
        <v>0</v>
      </c>
      <c r="M65" s="11">
        <f>B̳ases!K63</f>
        <v>20</v>
      </c>
      <c r="N65" s="6"/>
      <c r="O65" s="6"/>
      <c r="P65" s="6"/>
      <c r="Q65" s="6"/>
    </row>
    <row r="66" spans="1:17" ht="16.5" x14ac:dyDescent="0.3">
      <c r="A66" s="8">
        <f>B̳ases!A64</f>
        <v>3293</v>
      </c>
      <c r="B66" s="9" t="str">
        <f>B̳ases!C64</f>
        <v>Core</v>
      </c>
      <c r="C66" s="10">
        <f>B̳ases!D64</f>
        <v>45410</v>
      </c>
      <c r="D66" s="9" t="str">
        <f t="shared" si="0"/>
        <v>abr</v>
      </c>
      <c r="E66" s="8">
        <f t="shared" si="1"/>
        <v>4</v>
      </c>
      <c r="F66" s="8">
        <f>IF(B̳ases!E64="Yes",1,0)</f>
        <v>0</v>
      </c>
      <c r="G66" s="8">
        <f>IF(B̳ases!H64="Yes",1,0)</f>
        <v>0</v>
      </c>
      <c r="H66" s="8">
        <f>IF(B̳ases!J64="Yes",1,0)</f>
        <v>0</v>
      </c>
      <c r="I66" s="11">
        <f>B̳ases!M64</f>
        <v>4</v>
      </c>
      <c r="J66" s="11">
        <f>B̳ases!L64</f>
        <v>1</v>
      </c>
      <c r="K66" s="9" t="str">
        <f>B̳ases!G64</f>
        <v>Monthly</v>
      </c>
      <c r="L66" s="11">
        <f>IFERROR(VALUE(B̳ases!I64),0)</f>
        <v>0</v>
      </c>
      <c r="M66" s="11">
        <f>B̳ases!K64</f>
        <v>0</v>
      </c>
      <c r="N66" s="6"/>
      <c r="O66" s="6"/>
      <c r="P66" s="6"/>
      <c r="Q66" s="6"/>
    </row>
    <row r="67" spans="1:17" ht="16.5" x14ac:dyDescent="0.3">
      <c r="A67" s="8">
        <f>B̳ases!A65</f>
        <v>3294</v>
      </c>
      <c r="B67" s="9" t="str">
        <f>B̳ases!C65</f>
        <v>Ultimate</v>
      </c>
      <c r="C67" s="10">
        <f>B̳ases!D65</f>
        <v>45411</v>
      </c>
      <c r="D67" s="9" t="str">
        <f t="shared" si="0"/>
        <v>abr</v>
      </c>
      <c r="E67" s="8">
        <f t="shared" si="1"/>
        <v>4</v>
      </c>
      <c r="F67" s="8">
        <f>IF(B̳ases!E65="Yes",1,0)</f>
        <v>1</v>
      </c>
      <c r="G67" s="8">
        <f>IF(B̳ases!H65="Yes",1,0)</f>
        <v>1</v>
      </c>
      <c r="H67" s="8">
        <f>IF(B̳ases!J65="Yes",1,0)</f>
        <v>1</v>
      </c>
      <c r="I67" s="11">
        <f>B̳ases!M65</f>
        <v>45</v>
      </c>
      <c r="J67" s="11">
        <f>B̳ases!L65</f>
        <v>20</v>
      </c>
      <c r="K67" s="9" t="str">
        <f>B̳ases!G65</f>
        <v>Quarterly</v>
      </c>
      <c r="L67" s="11">
        <f>IFERROR(VALUE(B̳ases!I65),0)</f>
        <v>30</v>
      </c>
      <c r="M67" s="11">
        <f>B̳ases!K65</f>
        <v>20</v>
      </c>
      <c r="N67" s="6"/>
      <c r="O67" s="6"/>
      <c r="P67" s="6"/>
      <c r="Q67" s="6"/>
    </row>
    <row r="68" spans="1:17" ht="16.5" x14ac:dyDescent="0.3">
      <c r="A68" s="8">
        <f>B̳ases!A66</f>
        <v>3295</v>
      </c>
      <c r="B68" s="9" t="str">
        <f>B̳ases!C66</f>
        <v>Standard</v>
      </c>
      <c r="C68" s="10">
        <f>B̳ases!D66</f>
        <v>45412</v>
      </c>
      <c r="D68" s="9" t="str">
        <f t="shared" ref="D68:D131" si="2">TEXT(C68,"mmm")</f>
        <v>abr</v>
      </c>
      <c r="E68" s="8">
        <f t="shared" ref="E68:E131" si="3">MONTH(C68)</f>
        <v>4</v>
      </c>
      <c r="F68" s="8">
        <f>IF(B̳ases!E66="Yes",1,0)</f>
        <v>0</v>
      </c>
      <c r="G68" s="8">
        <f>IF(B̳ases!H66="Yes",1,0)</f>
        <v>0</v>
      </c>
      <c r="H68" s="8">
        <f>IF(B̳ases!J66="Yes",1,0)</f>
        <v>1</v>
      </c>
      <c r="I68" s="11">
        <f>B̳ases!M66</f>
        <v>25</v>
      </c>
      <c r="J68" s="11">
        <f>B̳ases!L66</f>
        <v>5</v>
      </c>
      <c r="K68" s="9" t="str">
        <f>B̳ases!G66</f>
        <v>Monthly</v>
      </c>
      <c r="L68" s="11">
        <f>IFERROR(VALUE(B̳ases!I66),0)</f>
        <v>0</v>
      </c>
      <c r="M68" s="11">
        <f>B̳ases!K66</f>
        <v>20</v>
      </c>
      <c r="N68" s="6"/>
      <c r="O68" s="6"/>
      <c r="P68" s="6"/>
      <c r="Q68" s="6"/>
    </row>
    <row r="69" spans="1:17" ht="16.5" x14ac:dyDescent="0.3">
      <c r="A69" s="8">
        <f>B̳ases!A67</f>
        <v>3296</v>
      </c>
      <c r="B69" s="9" t="str">
        <f>B̳ases!C67</f>
        <v>Core</v>
      </c>
      <c r="C69" s="10">
        <f>B̳ases!D67</f>
        <v>45413</v>
      </c>
      <c r="D69" s="9" t="str">
        <f t="shared" si="2"/>
        <v>mai</v>
      </c>
      <c r="E69" s="8">
        <f t="shared" si="3"/>
        <v>5</v>
      </c>
      <c r="F69" s="8">
        <f>IF(B̳ases!E67="Yes",1,0)</f>
        <v>0</v>
      </c>
      <c r="G69" s="8">
        <f>IF(B̳ases!H67="Yes",1,0)</f>
        <v>0</v>
      </c>
      <c r="H69" s="8">
        <f>IF(B̳ases!J67="Yes",1,0)</f>
        <v>0</v>
      </c>
      <c r="I69" s="11">
        <f>B̳ases!M67</f>
        <v>5</v>
      </c>
      <c r="J69" s="11">
        <f>B̳ases!L67</f>
        <v>0</v>
      </c>
      <c r="K69" s="9" t="str">
        <f>B̳ases!G67</f>
        <v>Monthly</v>
      </c>
      <c r="L69" s="11">
        <f>IFERROR(VALUE(B̳ases!I67),0)</f>
        <v>0</v>
      </c>
      <c r="M69" s="11">
        <f>B̳ases!K67</f>
        <v>0</v>
      </c>
      <c r="N69" s="6"/>
      <c r="O69" s="6"/>
      <c r="P69" s="6"/>
      <c r="Q69" s="6"/>
    </row>
    <row r="70" spans="1:17" ht="16.5" x14ac:dyDescent="0.3">
      <c r="A70" s="8">
        <f>B̳ases!A68</f>
        <v>3297</v>
      </c>
      <c r="B70" s="9" t="str">
        <f>B̳ases!C68</f>
        <v>Ultimate</v>
      </c>
      <c r="C70" s="10">
        <f>B̳ases!D68</f>
        <v>45414</v>
      </c>
      <c r="D70" s="9" t="str">
        <f t="shared" si="2"/>
        <v>mai</v>
      </c>
      <c r="E70" s="8">
        <f t="shared" si="3"/>
        <v>5</v>
      </c>
      <c r="F70" s="8">
        <f>IF(B̳ases!E68="Yes",1,0)</f>
        <v>1</v>
      </c>
      <c r="G70" s="8">
        <f>IF(B̳ases!H68="Yes",1,0)</f>
        <v>1</v>
      </c>
      <c r="H70" s="8">
        <f>IF(B̳ases!J68="Yes",1,0)</f>
        <v>1</v>
      </c>
      <c r="I70" s="11">
        <f>B̳ases!M68</f>
        <v>58</v>
      </c>
      <c r="J70" s="11">
        <f>B̳ases!L68</f>
        <v>7</v>
      </c>
      <c r="K70" s="9" t="str">
        <f>B̳ases!G68</f>
        <v>Quarterly</v>
      </c>
      <c r="L70" s="11">
        <f>IFERROR(VALUE(B̳ases!I68),0)</f>
        <v>30</v>
      </c>
      <c r="M70" s="11">
        <f>B̳ases!K68</f>
        <v>20</v>
      </c>
      <c r="N70" s="6"/>
      <c r="O70" s="6"/>
      <c r="P70" s="6"/>
      <c r="Q70" s="6"/>
    </row>
    <row r="71" spans="1:17" ht="16.5" x14ac:dyDescent="0.3">
      <c r="A71" s="8">
        <f>B̳ases!A69</f>
        <v>3298</v>
      </c>
      <c r="B71" s="9" t="str">
        <f>B̳ases!C69</f>
        <v>Standard</v>
      </c>
      <c r="C71" s="10">
        <f>B̳ases!D69</f>
        <v>45415</v>
      </c>
      <c r="D71" s="9" t="str">
        <f t="shared" si="2"/>
        <v>mai</v>
      </c>
      <c r="E71" s="8">
        <f t="shared" si="3"/>
        <v>5</v>
      </c>
      <c r="F71" s="8">
        <f>IF(B̳ases!E69="Yes",1,0)</f>
        <v>0</v>
      </c>
      <c r="G71" s="8">
        <f>IF(B̳ases!H69="Yes",1,0)</f>
        <v>0</v>
      </c>
      <c r="H71" s="8">
        <f>IF(B̳ases!J69="Yes",1,0)</f>
        <v>1</v>
      </c>
      <c r="I71" s="11">
        <f>B̳ases!M69</f>
        <v>20</v>
      </c>
      <c r="J71" s="11">
        <f>B̳ases!L69</f>
        <v>10</v>
      </c>
      <c r="K71" s="9" t="str">
        <f>B̳ases!G69</f>
        <v>Annual</v>
      </c>
      <c r="L71" s="11">
        <f>IFERROR(VALUE(B̳ases!I69),0)</f>
        <v>0</v>
      </c>
      <c r="M71" s="11">
        <f>B̳ases!K69</f>
        <v>20</v>
      </c>
      <c r="N71" s="6"/>
      <c r="O71" s="6"/>
      <c r="P71" s="6"/>
      <c r="Q71" s="6"/>
    </row>
    <row r="72" spans="1:17" ht="16.5" x14ac:dyDescent="0.3">
      <c r="A72" s="8">
        <f>B̳ases!A70</f>
        <v>3299</v>
      </c>
      <c r="B72" s="9" t="str">
        <f>B̳ases!C70</f>
        <v>Core</v>
      </c>
      <c r="C72" s="10">
        <f>B̳ases!D70</f>
        <v>45416</v>
      </c>
      <c r="D72" s="9" t="str">
        <f t="shared" si="2"/>
        <v>mai</v>
      </c>
      <c r="E72" s="8">
        <f t="shared" si="3"/>
        <v>5</v>
      </c>
      <c r="F72" s="8">
        <f>IF(B̳ases!E70="Yes",1,0)</f>
        <v>1</v>
      </c>
      <c r="G72" s="8">
        <f>IF(B̳ases!H70="Yes",1,0)</f>
        <v>0</v>
      </c>
      <c r="H72" s="8">
        <f>IF(B̳ases!J70="Yes",1,0)</f>
        <v>0</v>
      </c>
      <c r="I72" s="11">
        <f>B̳ases!M70</f>
        <v>4</v>
      </c>
      <c r="J72" s="11">
        <f>B̳ases!L70</f>
        <v>1</v>
      </c>
      <c r="K72" s="9" t="str">
        <f>B̳ases!G70</f>
        <v>Quarterly</v>
      </c>
      <c r="L72" s="11">
        <f>IFERROR(VALUE(B̳ases!I70),0)</f>
        <v>0</v>
      </c>
      <c r="M72" s="11">
        <f>B̳ases!K70</f>
        <v>0</v>
      </c>
      <c r="N72" s="6"/>
      <c r="O72" s="6"/>
      <c r="P72" s="6"/>
      <c r="Q72" s="6"/>
    </row>
    <row r="73" spans="1:17" ht="16.5" x14ac:dyDescent="0.3">
      <c r="A73" s="8">
        <f>B̳ases!A71</f>
        <v>3300</v>
      </c>
      <c r="B73" s="9" t="str">
        <f>B̳ases!C71</f>
        <v>Ultimate</v>
      </c>
      <c r="C73" s="10">
        <f>B̳ases!D71</f>
        <v>45417</v>
      </c>
      <c r="D73" s="9" t="str">
        <f t="shared" si="2"/>
        <v>mai</v>
      </c>
      <c r="E73" s="8">
        <f t="shared" si="3"/>
        <v>5</v>
      </c>
      <c r="F73" s="8">
        <f>IF(B̳ases!E71="Yes",1,0)</f>
        <v>0</v>
      </c>
      <c r="G73" s="8">
        <f>IF(B̳ases!H71="Yes",1,0)</f>
        <v>1</v>
      </c>
      <c r="H73" s="8">
        <f>IF(B̳ases!J71="Yes",1,0)</f>
        <v>1</v>
      </c>
      <c r="I73" s="11">
        <f>B̳ases!M71</f>
        <v>50</v>
      </c>
      <c r="J73" s="11">
        <f>B̳ases!L71</f>
        <v>15</v>
      </c>
      <c r="K73" s="9" t="str">
        <f>B̳ases!G71</f>
        <v>Monthly</v>
      </c>
      <c r="L73" s="11">
        <f>IFERROR(VALUE(B̳ases!I71),0)</f>
        <v>30</v>
      </c>
      <c r="M73" s="11">
        <f>B̳ases!K71</f>
        <v>20</v>
      </c>
      <c r="N73" s="6"/>
      <c r="O73" s="6"/>
      <c r="P73" s="6"/>
      <c r="Q73" s="6"/>
    </row>
    <row r="74" spans="1:17" ht="16.5" x14ac:dyDescent="0.3">
      <c r="A74" s="8">
        <f>B̳ases!A72</f>
        <v>3301</v>
      </c>
      <c r="B74" s="9" t="str">
        <f>B̳ases!C72</f>
        <v>Standard</v>
      </c>
      <c r="C74" s="10">
        <f>B̳ases!D72</f>
        <v>45418</v>
      </c>
      <c r="D74" s="9" t="str">
        <f t="shared" si="2"/>
        <v>mai</v>
      </c>
      <c r="E74" s="8">
        <f t="shared" si="3"/>
        <v>5</v>
      </c>
      <c r="F74" s="8">
        <f>IF(B̳ases!E72="Yes",1,0)</f>
        <v>1</v>
      </c>
      <c r="G74" s="8">
        <f>IF(B̳ases!H72="Yes",1,0)</f>
        <v>0</v>
      </c>
      <c r="H74" s="8">
        <f>IF(B̳ases!J72="Yes",1,0)</f>
        <v>1</v>
      </c>
      <c r="I74" s="11">
        <f>B̳ases!M72</f>
        <v>25</v>
      </c>
      <c r="J74" s="11">
        <f>B̳ases!L72</f>
        <v>5</v>
      </c>
      <c r="K74" s="9" t="str">
        <f>B̳ases!G72</f>
        <v>Monthly</v>
      </c>
      <c r="L74" s="11">
        <f>IFERROR(VALUE(B̳ases!I72),0)</f>
        <v>0</v>
      </c>
      <c r="M74" s="11">
        <f>B̳ases!K72</f>
        <v>20</v>
      </c>
      <c r="N74" s="6"/>
      <c r="O74" s="6"/>
      <c r="P74" s="6"/>
      <c r="Q74" s="6"/>
    </row>
    <row r="75" spans="1:17" ht="16.5" x14ac:dyDescent="0.3">
      <c r="A75" s="8">
        <f>B̳ases!A73</f>
        <v>3302</v>
      </c>
      <c r="B75" s="9" t="str">
        <f>B̳ases!C73</f>
        <v>Core</v>
      </c>
      <c r="C75" s="10">
        <f>B̳ases!D73</f>
        <v>45419</v>
      </c>
      <c r="D75" s="9" t="str">
        <f t="shared" si="2"/>
        <v>mai</v>
      </c>
      <c r="E75" s="8">
        <f t="shared" si="3"/>
        <v>5</v>
      </c>
      <c r="F75" s="8">
        <f>IF(B̳ases!E73="Yes",1,0)</f>
        <v>0</v>
      </c>
      <c r="G75" s="8">
        <f>IF(B̳ases!H73="Yes",1,0)</f>
        <v>0</v>
      </c>
      <c r="H75" s="8">
        <f>IF(B̳ases!J73="Yes",1,0)</f>
        <v>0</v>
      </c>
      <c r="I75" s="11">
        <f>B̳ases!M73</f>
        <v>5</v>
      </c>
      <c r="J75" s="11">
        <f>B̳ases!L73</f>
        <v>0</v>
      </c>
      <c r="K75" s="9" t="str">
        <f>B̳ases!G73</f>
        <v>Annual</v>
      </c>
      <c r="L75" s="11">
        <f>IFERROR(VALUE(B̳ases!I73),0)</f>
        <v>0</v>
      </c>
      <c r="M75" s="11">
        <f>B̳ases!K73</f>
        <v>0</v>
      </c>
      <c r="N75" s="6"/>
      <c r="O75" s="6"/>
      <c r="P75" s="6"/>
      <c r="Q75" s="6"/>
    </row>
    <row r="76" spans="1:17" ht="16.5" x14ac:dyDescent="0.3">
      <c r="A76" s="8">
        <f>B̳ases!A74</f>
        <v>3303</v>
      </c>
      <c r="B76" s="9" t="str">
        <f>B̳ases!C74</f>
        <v>Ultimate</v>
      </c>
      <c r="C76" s="10">
        <f>B̳ases!D74</f>
        <v>45420</v>
      </c>
      <c r="D76" s="9" t="str">
        <f t="shared" si="2"/>
        <v>mai</v>
      </c>
      <c r="E76" s="8">
        <f t="shared" si="3"/>
        <v>5</v>
      </c>
      <c r="F76" s="8">
        <f>IF(B̳ases!E74="Yes",1,0)</f>
        <v>1</v>
      </c>
      <c r="G76" s="8">
        <f>IF(B̳ases!H74="Yes",1,0)</f>
        <v>1</v>
      </c>
      <c r="H76" s="8">
        <f>IF(B̳ases!J74="Yes",1,0)</f>
        <v>1</v>
      </c>
      <c r="I76" s="11">
        <f>B̳ases!M74</f>
        <v>45</v>
      </c>
      <c r="J76" s="11">
        <f>B̳ases!L74</f>
        <v>20</v>
      </c>
      <c r="K76" s="9" t="str">
        <f>B̳ases!G74</f>
        <v>Quarterly</v>
      </c>
      <c r="L76" s="11">
        <f>IFERROR(VALUE(B̳ases!I74),0)</f>
        <v>30</v>
      </c>
      <c r="M76" s="11">
        <f>B̳ases!K74</f>
        <v>20</v>
      </c>
      <c r="N76" s="6"/>
      <c r="O76" s="6"/>
      <c r="P76" s="6"/>
      <c r="Q76" s="6"/>
    </row>
    <row r="77" spans="1:17" ht="16.5" x14ac:dyDescent="0.3">
      <c r="A77" s="8">
        <f>B̳ases!A75</f>
        <v>3304</v>
      </c>
      <c r="B77" s="9" t="str">
        <f>B̳ases!C75</f>
        <v>Standard</v>
      </c>
      <c r="C77" s="10">
        <f>B̳ases!D75</f>
        <v>45421</v>
      </c>
      <c r="D77" s="9" t="str">
        <f t="shared" si="2"/>
        <v>mai</v>
      </c>
      <c r="E77" s="8">
        <f t="shared" si="3"/>
        <v>5</v>
      </c>
      <c r="F77" s="8">
        <f>IF(B̳ases!E75="Yes",1,0)</f>
        <v>0</v>
      </c>
      <c r="G77" s="8">
        <f>IF(B̳ases!H75="Yes",1,0)</f>
        <v>0</v>
      </c>
      <c r="H77" s="8">
        <f>IF(B̳ases!J75="Yes",1,0)</f>
        <v>1</v>
      </c>
      <c r="I77" s="11">
        <f>B̳ases!M75</f>
        <v>18</v>
      </c>
      <c r="J77" s="11">
        <f>B̳ases!L75</f>
        <v>12</v>
      </c>
      <c r="K77" s="9" t="str">
        <f>B̳ases!G75</f>
        <v>Quarterly</v>
      </c>
      <c r="L77" s="11">
        <f>IFERROR(VALUE(B̳ases!I75),0)</f>
        <v>0</v>
      </c>
      <c r="M77" s="11">
        <f>B̳ases!K75</f>
        <v>20</v>
      </c>
      <c r="N77" s="6"/>
      <c r="O77" s="6"/>
      <c r="P77" s="6"/>
      <c r="Q77" s="6"/>
    </row>
    <row r="78" spans="1:17" ht="16.5" x14ac:dyDescent="0.3">
      <c r="A78" s="8">
        <f>B̳ases!A76</f>
        <v>3305</v>
      </c>
      <c r="B78" s="9" t="str">
        <f>B̳ases!C76</f>
        <v>Core</v>
      </c>
      <c r="C78" s="10">
        <f>B̳ases!D76</f>
        <v>45422</v>
      </c>
      <c r="D78" s="9" t="str">
        <f t="shared" si="2"/>
        <v>mai</v>
      </c>
      <c r="E78" s="8">
        <f t="shared" si="3"/>
        <v>5</v>
      </c>
      <c r="F78" s="8">
        <f>IF(B̳ases!E76="Yes",1,0)</f>
        <v>1</v>
      </c>
      <c r="G78" s="8">
        <f>IF(B̳ases!H76="Yes",1,0)</f>
        <v>0</v>
      </c>
      <c r="H78" s="8">
        <f>IF(B̳ases!J76="Yes",1,0)</f>
        <v>0</v>
      </c>
      <c r="I78" s="11">
        <f>B̳ases!M76</f>
        <v>3</v>
      </c>
      <c r="J78" s="11">
        <f>B̳ases!L76</f>
        <v>2</v>
      </c>
      <c r="K78" s="9" t="str">
        <f>B̳ases!G76</f>
        <v>Monthly</v>
      </c>
      <c r="L78" s="11">
        <f>IFERROR(VALUE(B̳ases!I76),0)</f>
        <v>0</v>
      </c>
      <c r="M78" s="11">
        <f>B̳ases!K76</f>
        <v>0</v>
      </c>
      <c r="N78" s="6"/>
      <c r="O78" s="6"/>
      <c r="P78" s="6"/>
      <c r="Q78" s="6"/>
    </row>
    <row r="79" spans="1:17" ht="16.5" x14ac:dyDescent="0.3">
      <c r="A79" s="8">
        <f>B̳ases!A77</f>
        <v>3306</v>
      </c>
      <c r="B79" s="9" t="str">
        <f>B̳ases!C77</f>
        <v>Ultimate</v>
      </c>
      <c r="C79" s="10">
        <f>B̳ases!D77</f>
        <v>45423</v>
      </c>
      <c r="D79" s="9" t="str">
        <f t="shared" si="2"/>
        <v>mai</v>
      </c>
      <c r="E79" s="8">
        <f t="shared" si="3"/>
        <v>5</v>
      </c>
      <c r="F79" s="8">
        <f>IF(B̳ases!E77="Yes",1,0)</f>
        <v>0</v>
      </c>
      <c r="G79" s="8">
        <f>IF(B̳ases!H77="Yes",1,0)</f>
        <v>1</v>
      </c>
      <c r="H79" s="8">
        <f>IF(B̳ases!J77="Yes",1,0)</f>
        <v>1</v>
      </c>
      <c r="I79" s="11">
        <f>B̳ases!M77</f>
        <v>60</v>
      </c>
      <c r="J79" s="11">
        <f>B̳ases!L77</f>
        <v>5</v>
      </c>
      <c r="K79" s="9" t="str">
        <f>B̳ases!G77</f>
        <v>Annual</v>
      </c>
      <c r="L79" s="11">
        <f>IFERROR(VALUE(B̳ases!I77),0)</f>
        <v>30</v>
      </c>
      <c r="M79" s="11">
        <f>B̳ases!K77</f>
        <v>20</v>
      </c>
      <c r="N79" s="6"/>
      <c r="O79" s="6"/>
      <c r="P79" s="6"/>
      <c r="Q79" s="6"/>
    </row>
    <row r="80" spans="1:17" ht="16.5" x14ac:dyDescent="0.3">
      <c r="A80" s="8">
        <f>B̳ases!A78</f>
        <v>3307</v>
      </c>
      <c r="B80" s="9" t="str">
        <f>B̳ases!C78</f>
        <v>Standard</v>
      </c>
      <c r="C80" s="10">
        <f>B̳ases!D78</f>
        <v>45424</v>
      </c>
      <c r="D80" s="9" t="str">
        <f t="shared" si="2"/>
        <v>mai</v>
      </c>
      <c r="E80" s="8">
        <f t="shared" si="3"/>
        <v>5</v>
      </c>
      <c r="F80" s="8">
        <f>IF(B̳ases!E78="Yes",1,0)</f>
        <v>1</v>
      </c>
      <c r="G80" s="8">
        <f>IF(B̳ases!H78="Yes",1,0)</f>
        <v>0</v>
      </c>
      <c r="H80" s="8">
        <f>IF(B̳ases!J78="Yes",1,0)</f>
        <v>1</v>
      </c>
      <c r="I80" s="11">
        <f>B̳ases!M78</f>
        <v>20</v>
      </c>
      <c r="J80" s="11">
        <f>B̳ases!L78</f>
        <v>10</v>
      </c>
      <c r="K80" s="9" t="str">
        <f>B̳ases!G78</f>
        <v>Monthly</v>
      </c>
      <c r="L80" s="11">
        <f>IFERROR(VALUE(B̳ases!I78),0)</f>
        <v>0</v>
      </c>
      <c r="M80" s="11">
        <f>B̳ases!K78</f>
        <v>20</v>
      </c>
      <c r="N80" s="6"/>
      <c r="O80" s="6"/>
      <c r="P80" s="6"/>
      <c r="Q80" s="6"/>
    </row>
    <row r="81" spans="1:17" ht="16.5" x14ac:dyDescent="0.3">
      <c r="A81" s="8">
        <f>B̳ases!A79</f>
        <v>3308</v>
      </c>
      <c r="B81" s="9" t="str">
        <f>B̳ases!C79</f>
        <v>Core</v>
      </c>
      <c r="C81" s="10">
        <f>B̳ases!D79</f>
        <v>45425</v>
      </c>
      <c r="D81" s="9" t="str">
        <f t="shared" si="2"/>
        <v>mai</v>
      </c>
      <c r="E81" s="8">
        <f t="shared" si="3"/>
        <v>5</v>
      </c>
      <c r="F81" s="8">
        <f>IF(B̳ases!E79="Yes",1,0)</f>
        <v>0</v>
      </c>
      <c r="G81" s="8">
        <f>IF(B̳ases!H79="Yes",1,0)</f>
        <v>0</v>
      </c>
      <c r="H81" s="8">
        <f>IF(B̳ases!J79="Yes",1,0)</f>
        <v>0</v>
      </c>
      <c r="I81" s="11">
        <f>B̳ases!M79</f>
        <v>5</v>
      </c>
      <c r="J81" s="11">
        <f>B̳ases!L79</f>
        <v>0</v>
      </c>
      <c r="K81" s="9" t="str">
        <f>B̳ases!G79</f>
        <v>Quarterly</v>
      </c>
      <c r="L81" s="11">
        <f>IFERROR(VALUE(B̳ases!I79),0)</f>
        <v>0</v>
      </c>
      <c r="M81" s="11">
        <f>B̳ases!K79</f>
        <v>0</v>
      </c>
      <c r="N81" s="6"/>
      <c r="O81" s="6"/>
      <c r="P81" s="6"/>
      <c r="Q81" s="6"/>
    </row>
    <row r="82" spans="1:17" ht="16.5" x14ac:dyDescent="0.3">
      <c r="A82" s="8">
        <f>B̳ases!A80</f>
        <v>3309</v>
      </c>
      <c r="B82" s="9" t="str">
        <f>B̳ases!C80</f>
        <v>Ultimate</v>
      </c>
      <c r="C82" s="10">
        <f>B̳ases!D80</f>
        <v>45426</v>
      </c>
      <c r="D82" s="9" t="str">
        <f t="shared" si="2"/>
        <v>mai</v>
      </c>
      <c r="E82" s="8">
        <f t="shared" si="3"/>
        <v>5</v>
      </c>
      <c r="F82" s="8">
        <f>IF(B̳ases!E80="Yes",1,0)</f>
        <v>1</v>
      </c>
      <c r="G82" s="8">
        <f>IF(B̳ases!H80="Yes",1,0)</f>
        <v>1</v>
      </c>
      <c r="H82" s="8">
        <f>IF(B̳ases!J80="Yes",1,0)</f>
        <v>1</v>
      </c>
      <c r="I82" s="11">
        <f>B̳ases!M80</f>
        <v>62</v>
      </c>
      <c r="J82" s="11">
        <f>B̳ases!L80</f>
        <v>3</v>
      </c>
      <c r="K82" s="9" t="str">
        <f>B̳ases!G80</f>
        <v>Monthly</v>
      </c>
      <c r="L82" s="11">
        <f>IFERROR(VALUE(B̳ases!I80),0)</f>
        <v>30</v>
      </c>
      <c r="M82" s="11">
        <f>B̳ases!K80</f>
        <v>20</v>
      </c>
      <c r="N82" s="6"/>
      <c r="O82" s="6"/>
      <c r="P82" s="6"/>
      <c r="Q82" s="6"/>
    </row>
    <row r="83" spans="1:17" ht="16.5" x14ac:dyDescent="0.3">
      <c r="A83" s="8">
        <f>B̳ases!A81</f>
        <v>3310</v>
      </c>
      <c r="B83" s="9" t="str">
        <f>B̳ases!C81</f>
        <v>Standard</v>
      </c>
      <c r="C83" s="10">
        <f>B̳ases!D81</f>
        <v>45427</v>
      </c>
      <c r="D83" s="9" t="str">
        <f t="shared" si="2"/>
        <v>mai</v>
      </c>
      <c r="E83" s="8">
        <f t="shared" si="3"/>
        <v>5</v>
      </c>
      <c r="F83" s="8">
        <f>IF(B̳ases!E81="Yes",1,0)</f>
        <v>0</v>
      </c>
      <c r="G83" s="8">
        <f>IF(B̳ases!H81="Yes",1,0)</f>
        <v>0</v>
      </c>
      <c r="H83" s="8">
        <f>IF(B̳ases!J81="Yes",1,0)</f>
        <v>1</v>
      </c>
      <c r="I83" s="11">
        <f>B̳ases!M81</f>
        <v>15</v>
      </c>
      <c r="J83" s="11">
        <f>B̳ases!L81</f>
        <v>15</v>
      </c>
      <c r="K83" s="9" t="str">
        <f>B̳ases!G81</f>
        <v>Annual</v>
      </c>
      <c r="L83" s="11">
        <f>IFERROR(VALUE(B̳ases!I81),0)</f>
        <v>0</v>
      </c>
      <c r="M83" s="11">
        <f>B̳ases!K81</f>
        <v>20</v>
      </c>
      <c r="N83" s="6"/>
      <c r="O83" s="6"/>
      <c r="P83" s="6"/>
      <c r="Q83" s="6"/>
    </row>
    <row r="84" spans="1:17" ht="16.5" x14ac:dyDescent="0.3">
      <c r="A84" s="8">
        <f>B̳ases!A82</f>
        <v>3311</v>
      </c>
      <c r="B84" s="9" t="str">
        <f>B̳ases!C82</f>
        <v>Core</v>
      </c>
      <c r="C84" s="10">
        <f>B̳ases!D82</f>
        <v>45428</v>
      </c>
      <c r="D84" s="9" t="str">
        <f t="shared" si="2"/>
        <v>mai</v>
      </c>
      <c r="E84" s="8">
        <f t="shared" si="3"/>
        <v>5</v>
      </c>
      <c r="F84" s="8">
        <f>IF(B̳ases!E82="Yes",1,0)</f>
        <v>1</v>
      </c>
      <c r="G84" s="8">
        <f>IF(B̳ases!H82="Yes",1,0)</f>
        <v>0</v>
      </c>
      <c r="H84" s="8">
        <f>IF(B̳ases!J82="Yes",1,0)</f>
        <v>0</v>
      </c>
      <c r="I84" s="11">
        <f>B̳ases!M82</f>
        <v>4</v>
      </c>
      <c r="J84" s="11">
        <f>B̳ases!L82</f>
        <v>1</v>
      </c>
      <c r="K84" s="9" t="str">
        <f>B̳ases!G82</f>
        <v>Monthly</v>
      </c>
      <c r="L84" s="11">
        <f>IFERROR(VALUE(B̳ases!I82),0)</f>
        <v>0</v>
      </c>
      <c r="M84" s="11">
        <f>B̳ases!K82</f>
        <v>0</v>
      </c>
      <c r="N84" s="6"/>
      <c r="O84" s="6"/>
      <c r="P84" s="6"/>
      <c r="Q84" s="6"/>
    </row>
    <row r="85" spans="1:17" ht="16.5" x14ac:dyDescent="0.3">
      <c r="A85" s="8">
        <f>B̳ases!A83</f>
        <v>3312</v>
      </c>
      <c r="B85" s="9" t="str">
        <f>B̳ases!C83</f>
        <v>Ultimate</v>
      </c>
      <c r="C85" s="10">
        <f>B̳ases!D83</f>
        <v>45429</v>
      </c>
      <c r="D85" s="9" t="str">
        <f t="shared" si="2"/>
        <v>mai</v>
      </c>
      <c r="E85" s="8">
        <f t="shared" si="3"/>
        <v>5</v>
      </c>
      <c r="F85" s="8">
        <f>IF(B̳ases!E83="Yes",1,0)</f>
        <v>0</v>
      </c>
      <c r="G85" s="8">
        <f>IF(B̳ases!H83="Yes",1,0)</f>
        <v>1</v>
      </c>
      <c r="H85" s="8">
        <f>IF(B̳ases!J83="Yes",1,0)</f>
        <v>1</v>
      </c>
      <c r="I85" s="11">
        <f>B̳ases!M83</f>
        <v>58</v>
      </c>
      <c r="J85" s="11">
        <f>B̳ases!L83</f>
        <v>7</v>
      </c>
      <c r="K85" s="9" t="str">
        <f>B̳ases!G83</f>
        <v>Quarterly</v>
      </c>
      <c r="L85" s="11">
        <f>IFERROR(VALUE(B̳ases!I83),0)</f>
        <v>30</v>
      </c>
      <c r="M85" s="11">
        <f>B̳ases!K83</f>
        <v>20</v>
      </c>
      <c r="N85" s="6"/>
      <c r="O85" s="6"/>
      <c r="P85" s="6"/>
      <c r="Q85" s="6"/>
    </row>
    <row r="86" spans="1:17" ht="16.5" x14ac:dyDescent="0.3">
      <c r="A86" s="8">
        <f>B̳ases!A84</f>
        <v>3313</v>
      </c>
      <c r="B86" s="9" t="str">
        <f>B̳ases!C84</f>
        <v>Standard</v>
      </c>
      <c r="C86" s="10">
        <f>B̳ases!D84</f>
        <v>45430</v>
      </c>
      <c r="D86" s="9" t="str">
        <f t="shared" si="2"/>
        <v>mai</v>
      </c>
      <c r="E86" s="8">
        <f t="shared" si="3"/>
        <v>5</v>
      </c>
      <c r="F86" s="8">
        <f>IF(B̳ases!E84="Yes",1,0)</f>
        <v>1</v>
      </c>
      <c r="G86" s="8">
        <f>IF(B̳ases!H84="Yes",1,0)</f>
        <v>0</v>
      </c>
      <c r="H86" s="8">
        <f>IF(B̳ases!J84="Yes",1,0)</f>
        <v>1</v>
      </c>
      <c r="I86" s="11">
        <f>B̳ases!M84</f>
        <v>20</v>
      </c>
      <c r="J86" s="11">
        <f>B̳ases!L84</f>
        <v>10</v>
      </c>
      <c r="K86" s="9" t="str">
        <f>B̳ases!G84</f>
        <v>Monthly</v>
      </c>
      <c r="L86" s="11">
        <f>IFERROR(VALUE(B̳ases!I84),0)</f>
        <v>0</v>
      </c>
      <c r="M86" s="11">
        <f>B̳ases!K84</f>
        <v>20</v>
      </c>
      <c r="N86" s="6"/>
      <c r="O86" s="6"/>
      <c r="P86" s="6"/>
      <c r="Q86" s="6"/>
    </row>
    <row r="87" spans="1:17" ht="16.5" x14ac:dyDescent="0.3">
      <c r="A87" s="8">
        <f>B̳ases!A85</f>
        <v>3314</v>
      </c>
      <c r="B87" s="9" t="str">
        <f>B̳ases!C85</f>
        <v>Core</v>
      </c>
      <c r="C87" s="10">
        <f>B̳ases!D85</f>
        <v>45431</v>
      </c>
      <c r="D87" s="9" t="str">
        <f t="shared" si="2"/>
        <v>mai</v>
      </c>
      <c r="E87" s="8">
        <f t="shared" si="3"/>
        <v>5</v>
      </c>
      <c r="F87" s="8">
        <f>IF(B̳ases!E85="Yes",1,0)</f>
        <v>0</v>
      </c>
      <c r="G87" s="8">
        <f>IF(B̳ases!H85="Yes",1,0)</f>
        <v>0</v>
      </c>
      <c r="H87" s="8">
        <f>IF(B̳ases!J85="Yes",1,0)</f>
        <v>0</v>
      </c>
      <c r="I87" s="11">
        <f>B̳ases!M85</f>
        <v>5</v>
      </c>
      <c r="J87" s="11">
        <f>B̳ases!L85</f>
        <v>0</v>
      </c>
      <c r="K87" s="9" t="str">
        <f>B̳ases!G85</f>
        <v>Annual</v>
      </c>
      <c r="L87" s="11">
        <f>IFERROR(VALUE(B̳ases!I85),0)</f>
        <v>0</v>
      </c>
      <c r="M87" s="11">
        <f>B̳ases!K85</f>
        <v>0</v>
      </c>
      <c r="N87" s="6"/>
      <c r="O87" s="6"/>
      <c r="P87" s="6"/>
      <c r="Q87" s="6"/>
    </row>
    <row r="88" spans="1:17" ht="16.5" x14ac:dyDescent="0.3">
      <c r="A88" s="8">
        <f>B̳ases!A86</f>
        <v>3315</v>
      </c>
      <c r="B88" s="9" t="str">
        <f>B̳ases!C86</f>
        <v>Ultimate</v>
      </c>
      <c r="C88" s="10">
        <f>B̳ases!D86</f>
        <v>45432</v>
      </c>
      <c r="D88" s="9" t="str">
        <f t="shared" si="2"/>
        <v>mai</v>
      </c>
      <c r="E88" s="8">
        <f t="shared" si="3"/>
        <v>5</v>
      </c>
      <c r="F88" s="8">
        <f>IF(B̳ases!E86="Yes",1,0)</f>
        <v>1</v>
      </c>
      <c r="G88" s="8">
        <f>IF(B̳ases!H86="Yes",1,0)</f>
        <v>1</v>
      </c>
      <c r="H88" s="8">
        <f>IF(B̳ases!J86="Yes",1,0)</f>
        <v>1</v>
      </c>
      <c r="I88" s="11">
        <f>B̳ases!M86</f>
        <v>45</v>
      </c>
      <c r="J88" s="11">
        <f>B̳ases!L86</f>
        <v>20</v>
      </c>
      <c r="K88" s="9" t="str">
        <f>B̳ases!G86</f>
        <v>Monthly</v>
      </c>
      <c r="L88" s="11">
        <f>IFERROR(VALUE(B̳ases!I86),0)</f>
        <v>30</v>
      </c>
      <c r="M88" s="11">
        <f>B̳ases!K86</f>
        <v>20</v>
      </c>
      <c r="N88" s="6"/>
      <c r="O88" s="6"/>
      <c r="P88" s="6"/>
      <c r="Q88" s="6"/>
    </row>
    <row r="89" spans="1:17" ht="16.5" x14ac:dyDescent="0.3">
      <c r="A89" s="8">
        <f>B̳ases!A87</f>
        <v>3316</v>
      </c>
      <c r="B89" s="9" t="str">
        <f>B̳ases!C87</f>
        <v>Standard</v>
      </c>
      <c r="C89" s="10">
        <f>B̳ases!D87</f>
        <v>45433</v>
      </c>
      <c r="D89" s="9" t="str">
        <f t="shared" si="2"/>
        <v>mai</v>
      </c>
      <c r="E89" s="8">
        <f t="shared" si="3"/>
        <v>5</v>
      </c>
      <c r="F89" s="8">
        <f>IF(B̳ases!E87="Yes",1,0)</f>
        <v>0</v>
      </c>
      <c r="G89" s="8">
        <f>IF(B̳ases!H87="Yes",1,0)</f>
        <v>0</v>
      </c>
      <c r="H89" s="8">
        <f>IF(B̳ases!J87="Yes",1,0)</f>
        <v>1</v>
      </c>
      <c r="I89" s="11">
        <f>B̳ases!M87</f>
        <v>15</v>
      </c>
      <c r="J89" s="11">
        <f>B̳ases!L87</f>
        <v>15</v>
      </c>
      <c r="K89" s="9" t="str">
        <f>B̳ases!G87</f>
        <v>Quarterly</v>
      </c>
      <c r="L89" s="11">
        <f>IFERROR(VALUE(B̳ases!I87),0)</f>
        <v>0</v>
      </c>
      <c r="M89" s="11">
        <f>B̳ases!K87</f>
        <v>20</v>
      </c>
      <c r="N89" s="6"/>
      <c r="O89" s="6"/>
      <c r="P89" s="6"/>
      <c r="Q89" s="6"/>
    </row>
    <row r="90" spans="1:17" ht="16.5" x14ac:dyDescent="0.3">
      <c r="A90" s="8">
        <f>B̳ases!A88</f>
        <v>3317</v>
      </c>
      <c r="B90" s="9" t="str">
        <f>B̳ases!C88</f>
        <v>Core</v>
      </c>
      <c r="C90" s="10">
        <f>B̳ases!D88</f>
        <v>45434</v>
      </c>
      <c r="D90" s="9" t="str">
        <f t="shared" si="2"/>
        <v>mai</v>
      </c>
      <c r="E90" s="8">
        <f t="shared" si="3"/>
        <v>5</v>
      </c>
      <c r="F90" s="8">
        <f>IF(B̳ases!E88="Yes",1,0)</f>
        <v>1</v>
      </c>
      <c r="G90" s="8">
        <f>IF(B̳ases!H88="Yes",1,0)</f>
        <v>0</v>
      </c>
      <c r="H90" s="8">
        <f>IF(B̳ases!J88="Yes",1,0)</f>
        <v>0</v>
      </c>
      <c r="I90" s="11">
        <f>B̳ases!M88</f>
        <v>4</v>
      </c>
      <c r="J90" s="11">
        <f>B̳ases!L88</f>
        <v>1</v>
      </c>
      <c r="K90" s="9" t="str">
        <f>B̳ases!G88</f>
        <v>Monthly</v>
      </c>
      <c r="L90" s="11">
        <f>IFERROR(VALUE(B̳ases!I88),0)</f>
        <v>0</v>
      </c>
      <c r="M90" s="11">
        <f>B̳ases!K88</f>
        <v>0</v>
      </c>
      <c r="N90" s="6"/>
      <c r="O90" s="6"/>
      <c r="P90" s="6"/>
      <c r="Q90" s="6"/>
    </row>
    <row r="91" spans="1:17" ht="16.5" x14ac:dyDescent="0.3">
      <c r="A91" s="8">
        <f>B̳ases!A89</f>
        <v>3318</v>
      </c>
      <c r="B91" s="9" t="str">
        <f>B̳ases!C89</f>
        <v>Ultimate</v>
      </c>
      <c r="C91" s="10">
        <f>B̳ases!D89</f>
        <v>45435</v>
      </c>
      <c r="D91" s="9" t="str">
        <f t="shared" si="2"/>
        <v>mai</v>
      </c>
      <c r="E91" s="8">
        <f t="shared" si="3"/>
        <v>5</v>
      </c>
      <c r="F91" s="8">
        <f>IF(B̳ases!E89="Yes",1,0)</f>
        <v>0</v>
      </c>
      <c r="G91" s="8">
        <f>IF(B̳ases!H89="Yes",1,0)</f>
        <v>1</v>
      </c>
      <c r="H91" s="8">
        <f>IF(B̳ases!J89="Yes",1,0)</f>
        <v>1</v>
      </c>
      <c r="I91" s="11">
        <f>B̳ases!M89</f>
        <v>62</v>
      </c>
      <c r="J91" s="11">
        <f>B̳ases!L89</f>
        <v>3</v>
      </c>
      <c r="K91" s="9" t="str">
        <f>B̳ases!G89</f>
        <v>Annual</v>
      </c>
      <c r="L91" s="11">
        <f>IFERROR(VALUE(B̳ases!I89),0)</f>
        <v>30</v>
      </c>
      <c r="M91" s="11">
        <f>B̳ases!K89</f>
        <v>20</v>
      </c>
      <c r="N91" s="6"/>
      <c r="O91" s="6"/>
      <c r="P91" s="6"/>
      <c r="Q91" s="6"/>
    </row>
    <row r="92" spans="1:17" ht="16.5" x14ac:dyDescent="0.3">
      <c r="A92" s="8">
        <f>B̳ases!A90</f>
        <v>3319</v>
      </c>
      <c r="B92" s="9" t="str">
        <f>B̳ases!C90</f>
        <v>Standard</v>
      </c>
      <c r="C92" s="10">
        <f>B̳ases!D90</f>
        <v>45436</v>
      </c>
      <c r="D92" s="9" t="str">
        <f t="shared" si="2"/>
        <v>mai</v>
      </c>
      <c r="E92" s="8">
        <f t="shared" si="3"/>
        <v>5</v>
      </c>
      <c r="F92" s="8">
        <f>IF(B̳ases!E90="Yes",1,0)</f>
        <v>1</v>
      </c>
      <c r="G92" s="8">
        <f>IF(B̳ases!H90="Yes",1,0)</f>
        <v>0</v>
      </c>
      <c r="H92" s="8">
        <f>IF(B̳ases!J90="Yes",1,0)</f>
        <v>1</v>
      </c>
      <c r="I92" s="11">
        <f>B̳ases!M90</f>
        <v>20</v>
      </c>
      <c r="J92" s="11">
        <f>B̳ases!L90</f>
        <v>10</v>
      </c>
      <c r="K92" s="9" t="str">
        <f>B̳ases!G90</f>
        <v>Monthly</v>
      </c>
      <c r="L92" s="11">
        <f>IFERROR(VALUE(B̳ases!I90),0)</f>
        <v>0</v>
      </c>
      <c r="M92" s="11">
        <f>B̳ases!K90</f>
        <v>20</v>
      </c>
      <c r="N92" s="6"/>
      <c r="O92" s="6"/>
      <c r="P92" s="6"/>
      <c r="Q92" s="6"/>
    </row>
    <row r="93" spans="1:17" ht="16.5" x14ac:dyDescent="0.3">
      <c r="A93" s="8">
        <f>B̳ases!A91</f>
        <v>3320</v>
      </c>
      <c r="B93" s="9" t="str">
        <f>B̳ases!C91</f>
        <v>Core</v>
      </c>
      <c r="C93" s="10">
        <f>B̳ases!D91</f>
        <v>45437</v>
      </c>
      <c r="D93" s="9" t="str">
        <f t="shared" si="2"/>
        <v>mai</v>
      </c>
      <c r="E93" s="8">
        <f t="shared" si="3"/>
        <v>5</v>
      </c>
      <c r="F93" s="8">
        <f>IF(B̳ases!E91="Yes",1,0)</f>
        <v>0</v>
      </c>
      <c r="G93" s="8">
        <f>IF(B̳ases!H91="Yes",1,0)</f>
        <v>0</v>
      </c>
      <c r="H93" s="8">
        <f>IF(B̳ases!J91="Yes",1,0)</f>
        <v>0</v>
      </c>
      <c r="I93" s="11">
        <f>B̳ases!M91</f>
        <v>5</v>
      </c>
      <c r="J93" s="11">
        <f>B̳ases!L91</f>
        <v>0</v>
      </c>
      <c r="K93" s="9" t="str">
        <f>B̳ases!G91</f>
        <v>Quarterly</v>
      </c>
      <c r="L93" s="11">
        <f>IFERROR(VALUE(B̳ases!I91),0)</f>
        <v>0</v>
      </c>
      <c r="M93" s="11">
        <f>B̳ases!K91</f>
        <v>0</v>
      </c>
      <c r="N93" s="6"/>
      <c r="O93" s="6"/>
      <c r="P93" s="6"/>
      <c r="Q93" s="6"/>
    </row>
    <row r="94" spans="1:17" ht="16.5" x14ac:dyDescent="0.3">
      <c r="A94" s="8">
        <f>B̳ases!A92</f>
        <v>3321</v>
      </c>
      <c r="B94" s="9" t="str">
        <f>B̳ases!C92</f>
        <v>Ultimate</v>
      </c>
      <c r="C94" s="10">
        <f>B̳ases!D92</f>
        <v>45438</v>
      </c>
      <c r="D94" s="9" t="str">
        <f t="shared" si="2"/>
        <v>mai</v>
      </c>
      <c r="E94" s="8">
        <f t="shared" si="3"/>
        <v>5</v>
      </c>
      <c r="F94" s="8">
        <f>IF(B̳ases!E92="Yes",1,0)</f>
        <v>1</v>
      </c>
      <c r="G94" s="8">
        <f>IF(B̳ases!H92="Yes",1,0)</f>
        <v>1</v>
      </c>
      <c r="H94" s="8">
        <f>IF(B̳ases!J92="Yes",1,0)</f>
        <v>1</v>
      </c>
      <c r="I94" s="11">
        <f>B̳ases!M92</f>
        <v>60</v>
      </c>
      <c r="J94" s="11">
        <f>B̳ases!L92</f>
        <v>5</v>
      </c>
      <c r="K94" s="9" t="str">
        <f>B̳ases!G92</f>
        <v>Monthly</v>
      </c>
      <c r="L94" s="11">
        <f>IFERROR(VALUE(B̳ases!I92),0)</f>
        <v>30</v>
      </c>
      <c r="M94" s="11">
        <f>B̳ases!K92</f>
        <v>20</v>
      </c>
      <c r="N94" s="6"/>
      <c r="O94" s="6"/>
      <c r="P94" s="6"/>
      <c r="Q94" s="6"/>
    </row>
    <row r="95" spans="1:17" ht="16.5" x14ac:dyDescent="0.3">
      <c r="A95" s="8">
        <f>B̳ases!A93</f>
        <v>3322</v>
      </c>
      <c r="B95" s="9" t="str">
        <f>B̳ases!C93</f>
        <v>Standard</v>
      </c>
      <c r="C95" s="10">
        <f>B̳ases!D93</f>
        <v>45439</v>
      </c>
      <c r="D95" s="9" t="str">
        <f t="shared" si="2"/>
        <v>mai</v>
      </c>
      <c r="E95" s="8">
        <f t="shared" si="3"/>
        <v>5</v>
      </c>
      <c r="F95" s="8">
        <f>IF(B̳ases!E93="Yes",1,0)</f>
        <v>0</v>
      </c>
      <c r="G95" s="8">
        <f>IF(B̳ases!H93="Yes",1,0)</f>
        <v>0</v>
      </c>
      <c r="H95" s="8">
        <f>IF(B̳ases!J93="Yes",1,0)</f>
        <v>1</v>
      </c>
      <c r="I95" s="11">
        <f>B̳ases!M93</f>
        <v>15</v>
      </c>
      <c r="J95" s="11">
        <f>B̳ases!L93</f>
        <v>15</v>
      </c>
      <c r="K95" s="9" t="str">
        <f>B̳ases!G93</f>
        <v>Annual</v>
      </c>
      <c r="L95" s="11">
        <f>IFERROR(VALUE(B̳ases!I93),0)</f>
        <v>0</v>
      </c>
      <c r="M95" s="11">
        <f>B̳ases!K93</f>
        <v>20</v>
      </c>
      <c r="N95" s="6"/>
      <c r="O95" s="6"/>
      <c r="P95" s="6"/>
      <c r="Q95" s="6"/>
    </row>
    <row r="96" spans="1:17" ht="16.5" x14ac:dyDescent="0.3">
      <c r="A96" s="8">
        <f>B̳ases!A94</f>
        <v>3323</v>
      </c>
      <c r="B96" s="9" t="str">
        <f>B̳ases!C94</f>
        <v>Core</v>
      </c>
      <c r="C96" s="10">
        <f>B̳ases!D94</f>
        <v>45440</v>
      </c>
      <c r="D96" s="9" t="str">
        <f t="shared" si="2"/>
        <v>mai</v>
      </c>
      <c r="E96" s="8">
        <f t="shared" si="3"/>
        <v>5</v>
      </c>
      <c r="F96" s="8">
        <f>IF(B̳ases!E94="Yes",1,0)</f>
        <v>1</v>
      </c>
      <c r="G96" s="8">
        <f>IF(B̳ases!H94="Yes",1,0)</f>
        <v>0</v>
      </c>
      <c r="H96" s="8">
        <f>IF(B̳ases!J94="Yes",1,0)</f>
        <v>0</v>
      </c>
      <c r="I96" s="11">
        <f>B̳ases!M94</f>
        <v>4</v>
      </c>
      <c r="J96" s="11">
        <f>B̳ases!L94</f>
        <v>1</v>
      </c>
      <c r="K96" s="9" t="str">
        <f>B̳ases!G94</f>
        <v>Monthly</v>
      </c>
      <c r="L96" s="11">
        <f>IFERROR(VALUE(B̳ases!I94),0)</f>
        <v>0</v>
      </c>
      <c r="M96" s="11">
        <f>B̳ases!K94</f>
        <v>0</v>
      </c>
      <c r="N96" s="6"/>
      <c r="O96" s="6"/>
      <c r="P96" s="6"/>
      <c r="Q96" s="6"/>
    </row>
    <row r="97" spans="1:17" ht="16.5" x14ac:dyDescent="0.3">
      <c r="A97" s="8">
        <f>B̳ases!A95</f>
        <v>3324</v>
      </c>
      <c r="B97" s="9" t="str">
        <f>B̳ases!C95</f>
        <v>Ultimate</v>
      </c>
      <c r="C97" s="10">
        <f>B̳ases!D95</f>
        <v>45441</v>
      </c>
      <c r="D97" s="9" t="str">
        <f t="shared" si="2"/>
        <v>mai</v>
      </c>
      <c r="E97" s="8">
        <f t="shared" si="3"/>
        <v>5</v>
      </c>
      <c r="F97" s="8">
        <f>IF(B̳ases!E95="Yes",1,0)</f>
        <v>0</v>
      </c>
      <c r="G97" s="8">
        <f>IF(B̳ases!H95="Yes",1,0)</f>
        <v>1</v>
      </c>
      <c r="H97" s="8">
        <f>IF(B̳ases!J95="Yes",1,0)</f>
        <v>1</v>
      </c>
      <c r="I97" s="11">
        <f>B̳ases!M95</f>
        <v>45</v>
      </c>
      <c r="J97" s="11">
        <f>B̳ases!L95</f>
        <v>20</v>
      </c>
      <c r="K97" s="9" t="str">
        <f>B̳ases!G95</f>
        <v>Quarterly</v>
      </c>
      <c r="L97" s="11">
        <f>IFERROR(VALUE(B̳ases!I95),0)</f>
        <v>30</v>
      </c>
      <c r="M97" s="11">
        <f>B̳ases!K95</f>
        <v>20</v>
      </c>
      <c r="N97" s="6"/>
      <c r="O97" s="6"/>
      <c r="P97" s="6"/>
      <c r="Q97" s="6"/>
    </row>
    <row r="98" spans="1:17" ht="16.5" x14ac:dyDescent="0.3">
      <c r="A98" s="8">
        <f>B̳ases!A96</f>
        <v>3325</v>
      </c>
      <c r="B98" s="9" t="str">
        <f>B̳ases!C96</f>
        <v>Standard</v>
      </c>
      <c r="C98" s="10">
        <f>B̳ases!D96</f>
        <v>45442</v>
      </c>
      <c r="D98" s="9" t="str">
        <f t="shared" si="2"/>
        <v>mai</v>
      </c>
      <c r="E98" s="8">
        <f t="shared" si="3"/>
        <v>5</v>
      </c>
      <c r="F98" s="8">
        <f>IF(B̳ases!E96="Yes",1,0)</f>
        <v>1</v>
      </c>
      <c r="G98" s="8">
        <f>IF(B̳ases!H96="Yes",1,0)</f>
        <v>0</v>
      </c>
      <c r="H98" s="8">
        <f>IF(B̳ases!J96="Yes",1,0)</f>
        <v>1</v>
      </c>
      <c r="I98" s="11">
        <f>B̳ases!M96</f>
        <v>15</v>
      </c>
      <c r="J98" s="11">
        <f>B̳ases!L96</f>
        <v>15</v>
      </c>
      <c r="K98" s="9" t="str">
        <f>B̳ases!G96</f>
        <v>Quarterly</v>
      </c>
      <c r="L98" s="11">
        <f>IFERROR(VALUE(B̳ases!I96),0)</f>
        <v>0</v>
      </c>
      <c r="M98" s="11">
        <f>B̳ases!K96</f>
        <v>20</v>
      </c>
      <c r="N98" s="6"/>
      <c r="O98" s="6"/>
      <c r="P98" s="6"/>
      <c r="Q98" s="6"/>
    </row>
    <row r="99" spans="1:17" ht="16.5" x14ac:dyDescent="0.3">
      <c r="A99" s="8">
        <f>B̳ases!A97</f>
        <v>3326</v>
      </c>
      <c r="B99" s="9" t="str">
        <f>B̳ases!C97</f>
        <v>Core</v>
      </c>
      <c r="C99" s="10">
        <f>B̳ases!D97</f>
        <v>45443</v>
      </c>
      <c r="D99" s="9" t="str">
        <f t="shared" si="2"/>
        <v>mai</v>
      </c>
      <c r="E99" s="8">
        <f t="shared" si="3"/>
        <v>5</v>
      </c>
      <c r="F99" s="8">
        <f>IF(B̳ases!E97="Yes",1,0)</f>
        <v>0</v>
      </c>
      <c r="G99" s="8">
        <f>IF(B̳ases!H97="Yes",1,0)</f>
        <v>0</v>
      </c>
      <c r="H99" s="8">
        <f>IF(B̳ases!J97="Yes",1,0)</f>
        <v>0</v>
      </c>
      <c r="I99" s="11">
        <f>B̳ases!M97</f>
        <v>5</v>
      </c>
      <c r="J99" s="11">
        <f>B̳ases!L97</f>
        <v>0</v>
      </c>
      <c r="K99" s="9" t="str">
        <f>B̳ases!G97</f>
        <v>Annual</v>
      </c>
      <c r="L99" s="11">
        <f>IFERROR(VALUE(B̳ases!I97),0)</f>
        <v>0</v>
      </c>
      <c r="M99" s="11">
        <f>B̳ases!K97</f>
        <v>0</v>
      </c>
      <c r="N99" s="6"/>
      <c r="O99" s="6"/>
      <c r="P99" s="6"/>
      <c r="Q99" s="6"/>
    </row>
    <row r="100" spans="1:17" ht="16.5" x14ac:dyDescent="0.3">
      <c r="A100" s="8">
        <f>B̳ases!A98</f>
        <v>3327</v>
      </c>
      <c r="B100" s="9" t="str">
        <f>B̳ases!C98</f>
        <v>Ultimate</v>
      </c>
      <c r="C100" s="10">
        <f>B̳ases!D98</f>
        <v>45444</v>
      </c>
      <c r="D100" s="9" t="str">
        <f t="shared" si="2"/>
        <v>jun</v>
      </c>
      <c r="E100" s="8">
        <f t="shared" si="3"/>
        <v>6</v>
      </c>
      <c r="F100" s="8">
        <f>IF(B̳ases!E98="Yes",1,0)</f>
        <v>1</v>
      </c>
      <c r="G100" s="8">
        <f>IF(B̳ases!H98="Yes",1,0)</f>
        <v>1</v>
      </c>
      <c r="H100" s="8">
        <f>IF(B̳ases!J98="Yes",1,0)</f>
        <v>1</v>
      </c>
      <c r="I100" s="11">
        <f>B̳ases!M98</f>
        <v>58</v>
      </c>
      <c r="J100" s="11">
        <f>B̳ases!L98</f>
        <v>7</v>
      </c>
      <c r="K100" s="9" t="str">
        <f>B̳ases!G98</f>
        <v>Monthly</v>
      </c>
      <c r="L100" s="11">
        <f>IFERROR(VALUE(B̳ases!I98),0)</f>
        <v>30</v>
      </c>
      <c r="M100" s="11">
        <f>B̳ases!K98</f>
        <v>20</v>
      </c>
      <c r="N100" s="6"/>
      <c r="O100" s="6"/>
      <c r="P100" s="6"/>
      <c r="Q100" s="6"/>
    </row>
    <row r="101" spans="1:17" ht="16.5" x14ac:dyDescent="0.3">
      <c r="A101" s="8">
        <f>B̳ases!A99</f>
        <v>3328</v>
      </c>
      <c r="B101" s="9" t="str">
        <f>B̳ases!C99</f>
        <v>Standard</v>
      </c>
      <c r="C101" s="10">
        <f>B̳ases!D99</f>
        <v>45445</v>
      </c>
      <c r="D101" s="9" t="str">
        <f t="shared" si="2"/>
        <v>jun</v>
      </c>
      <c r="E101" s="8">
        <f t="shared" si="3"/>
        <v>6</v>
      </c>
      <c r="F101" s="8">
        <f>IF(B̳ases!E99="Yes",1,0)</f>
        <v>0</v>
      </c>
      <c r="G101" s="8">
        <f>IF(B̳ases!H99="Yes",1,0)</f>
        <v>0</v>
      </c>
      <c r="H101" s="8">
        <f>IF(B̳ases!J99="Yes",1,0)</f>
        <v>1</v>
      </c>
      <c r="I101" s="11">
        <f>B̳ases!M99</f>
        <v>20</v>
      </c>
      <c r="J101" s="11">
        <f>B̳ases!L99</f>
        <v>10</v>
      </c>
      <c r="K101" s="9" t="str">
        <f>B̳ases!G99</f>
        <v>Annual</v>
      </c>
      <c r="L101" s="11">
        <f>IFERROR(VALUE(B̳ases!I99),0)</f>
        <v>0</v>
      </c>
      <c r="M101" s="11">
        <f>B̳ases!K99</f>
        <v>20</v>
      </c>
      <c r="N101" s="6"/>
      <c r="O101" s="6"/>
      <c r="P101" s="6"/>
      <c r="Q101" s="6"/>
    </row>
    <row r="102" spans="1:17" ht="16.5" x14ac:dyDescent="0.3">
      <c r="A102" s="8">
        <f>B̳ases!A100</f>
        <v>3329</v>
      </c>
      <c r="B102" s="9" t="str">
        <f>B̳ases!C100</f>
        <v>Core</v>
      </c>
      <c r="C102" s="10">
        <f>B̳ases!D100</f>
        <v>45446</v>
      </c>
      <c r="D102" s="9" t="str">
        <f t="shared" si="2"/>
        <v>jun</v>
      </c>
      <c r="E102" s="8">
        <f t="shared" si="3"/>
        <v>6</v>
      </c>
      <c r="F102" s="8">
        <f>IF(B̳ases!E100="Yes",1,0)</f>
        <v>1</v>
      </c>
      <c r="G102" s="8">
        <f>IF(B̳ases!H100="Yes",1,0)</f>
        <v>0</v>
      </c>
      <c r="H102" s="8">
        <f>IF(B̳ases!J100="Yes",1,0)</f>
        <v>0</v>
      </c>
      <c r="I102" s="11">
        <f>B̳ases!M100</f>
        <v>4</v>
      </c>
      <c r="J102" s="11">
        <f>B̳ases!L100</f>
        <v>1</v>
      </c>
      <c r="K102" s="9" t="str">
        <f>B̳ases!G100</f>
        <v>Quarterly</v>
      </c>
      <c r="L102" s="11">
        <f>IFERROR(VALUE(B̳ases!I100),0)</f>
        <v>0</v>
      </c>
      <c r="M102" s="11">
        <f>B̳ases!K100</f>
        <v>0</v>
      </c>
      <c r="N102" s="6"/>
      <c r="O102" s="6"/>
      <c r="P102" s="6"/>
      <c r="Q102" s="6"/>
    </row>
    <row r="103" spans="1:17" ht="16.5" x14ac:dyDescent="0.3">
      <c r="A103" s="8">
        <f>B̳ases!A101</f>
        <v>3330</v>
      </c>
      <c r="B103" s="9" t="str">
        <f>B̳ases!C101</f>
        <v>Ultimate</v>
      </c>
      <c r="C103" s="10">
        <f>B̳ases!D101</f>
        <v>45447</v>
      </c>
      <c r="D103" s="9" t="str">
        <f t="shared" si="2"/>
        <v>jun</v>
      </c>
      <c r="E103" s="8">
        <f t="shared" si="3"/>
        <v>6</v>
      </c>
      <c r="F103" s="8">
        <f>IF(B̳ases!E101="Yes",1,0)</f>
        <v>0</v>
      </c>
      <c r="G103" s="8">
        <f>IF(B̳ases!H101="Yes",1,0)</f>
        <v>1</v>
      </c>
      <c r="H103" s="8">
        <f>IF(B̳ases!J101="Yes",1,0)</f>
        <v>1</v>
      </c>
      <c r="I103" s="11">
        <f>B̳ases!M101</f>
        <v>50</v>
      </c>
      <c r="J103" s="11">
        <f>B̳ases!L101</f>
        <v>15</v>
      </c>
      <c r="K103" s="9" t="str">
        <f>B̳ases!G101</f>
        <v>Monthly</v>
      </c>
      <c r="L103" s="11">
        <f>IFERROR(VALUE(B̳ases!I101),0)</f>
        <v>30</v>
      </c>
      <c r="M103" s="11">
        <f>B̳ases!K101</f>
        <v>20</v>
      </c>
      <c r="N103" s="6"/>
      <c r="O103" s="6"/>
      <c r="P103" s="6"/>
      <c r="Q103" s="6"/>
    </row>
    <row r="104" spans="1:17" ht="16.5" x14ac:dyDescent="0.3">
      <c r="A104" s="8">
        <f>B̳ases!A102</f>
        <v>3331</v>
      </c>
      <c r="B104" s="9" t="str">
        <f>B̳ases!C102</f>
        <v>Standard</v>
      </c>
      <c r="C104" s="10">
        <f>B̳ases!D102</f>
        <v>45448</v>
      </c>
      <c r="D104" s="9" t="str">
        <f t="shared" si="2"/>
        <v>jun</v>
      </c>
      <c r="E104" s="8">
        <f t="shared" si="3"/>
        <v>6</v>
      </c>
      <c r="F104" s="8">
        <f>IF(B̳ases!E102="Yes",1,0)</f>
        <v>1</v>
      </c>
      <c r="G104" s="8">
        <f>IF(B̳ases!H102="Yes",1,0)</f>
        <v>0</v>
      </c>
      <c r="H104" s="8">
        <f>IF(B̳ases!J102="Yes",1,0)</f>
        <v>1</v>
      </c>
      <c r="I104" s="11">
        <f>B̳ases!M102</f>
        <v>25</v>
      </c>
      <c r="J104" s="11">
        <f>B̳ases!L102</f>
        <v>5</v>
      </c>
      <c r="K104" s="9" t="str">
        <f>B̳ases!G102</f>
        <v>Monthly</v>
      </c>
      <c r="L104" s="11">
        <f>IFERROR(VALUE(B̳ases!I102),0)</f>
        <v>0</v>
      </c>
      <c r="M104" s="11">
        <f>B̳ases!K102</f>
        <v>20</v>
      </c>
      <c r="N104" s="6"/>
      <c r="O104" s="6"/>
      <c r="P104" s="6"/>
      <c r="Q104" s="6"/>
    </row>
    <row r="105" spans="1:17" ht="16.5" x14ac:dyDescent="0.3">
      <c r="A105" s="8">
        <f>B̳ases!A103</f>
        <v>3332</v>
      </c>
      <c r="B105" s="9" t="str">
        <f>B̳ases!C103</f>
        <v>Core</v>
      </c>
      <c r="C105" s="10">
        <f>B̳ases!D103</f>
        <v>45449</v>
      </c>
      <c r="D105" s="9" t="str">
        <f t="shared" si="2"/>
        <v>jun</v>
      </c>
      <c r="E105" s="8">
        <f t="shared" si="3"/>
        <v>6</v>
      </c>
      <c r="F105" s="8">
        <f>IF(B̳ases!E103="Yes",1,0)</f>
        <v>0</v>
      </c>
      <c r="G105" s="8">
        <f>IF(B̳ases!H103="Yes",1,0)</f>
        <v>0</v>
      </c>
      <c r="H105" s="8">
        <f>IF(B̳ases!J103="Yes",1,0)</f>
        <v>0</v>
      </c>
      <c r="I105" s="11">
        <f>B̳ases!M103</f>
        <v>5</v>
      </c>
      <c r="J105" s="11">
        <f>B̳ases!L103</f>
        <v>0</v>
      </c>
      <c r="K105" s="9" t="str">
        <f>B̳ases!G103</f>
        <v>Annual</v>
      </c>
      <c r="L105" s="11">
        <f>IFERROR(VALUE(B̳ases!I103),0)</f>
        <v>0</v>
      </c>
      <c r="M105" s="11">
        <f>B̳ases!K103</f>
        <v>0</v>
      </c>
      <c r="N105" s="6"/>
      <c r="O105" s="6"/>
      <c r="P105" s="6"/>
      <c r="Q105" s="6"/>
    </row>
    <row r="106" spans="1:17" ht="16.5" x14ac:dyDescent="0.3">
      <c r="A106" s="8">
        <f>B̳ases!A104</f>
        <v>3333</v>
      </c>
      <c r="B106" s="9" t="str">
        <f>B̳ases!C104</f>
        <v>Ultimate</v>
      </c>
      <c r="C106" s="10">
        <f>B̳ases!D104</f>
        <v>45450</v>
      </c>
      <c r="D106" s="9" t="str">
        <f t="shared" si="2"/>
        <v>jun</v>
      </c>
      <c r="E106" s="8">
        <f t="shared" si="3"/>
        <v>6</v>
      </c>
      <c r="F106" s="8">
        <f>IF(B̳ases!E104="Yes",1,0)</f>
        <v>1</v>
      </c>
      <c r="G106" s="8">
        <f>IF(B̳ases!H104="Yes",1,0)</f>
        <v>1</v>
      </c>
      <c r="H106" s="8">
        <f>IF(B̳ases!J104="Yes",1,0)</f>
        <v>1</v>
      </c>
      <c r="I106" s="11">
        <f>B̳ases!M104</f>
        <v>45</v>
      </c>
      <c r="J106" s="11">
        <f>B̳ases!L104</f>
        <v>20</v>
      </c>
      <c r="K106" s="9" t="str">
        <f>B̳ases!G104</f>
        <v>Quarterly</v>
      </c>
      <c r="L106" s="11">
        <f>IFERROR(VALUE(B̳ases!I104),0)</f>
        <v>30</v>
      </c>
      <c r="M106" s="11">
        <f>B̳ases!K104</f>
        <v>20</v>
      </c>
      <c r="N106" s="6"/>
      <c r="O106" s="6"/>
      <c r="P106" s="6"/>
      <c r="Q106" s="6"/>
    </row>
    <row r="107" spans="1:17" ht="16.5" x14ac:dyDescent="0.3">
      <c r="A107" s="8">
        <f>B̳ases!A105</f>
        <v>3334</v>
      </c>
      <c r="B107" s="9" t="str">
        <f>B̳ases!C105</f>
        <v>Standard</v>
      </c>
      <c r="C107" s="10">
        <f>B̳ases!D105</f>
        <v>45451</v>
      </c>
      <c r="D107" s="9" t="str">
        <f t="shared" si="2"/>
        <v>jun</v>
      </c>
      <c r="E107" s="8">
        <f t="shared" si="3"/>
        <v>6</v>
      </c>
      <c r="F107" s="8">
        <f>IF(B̳ases!E105="Yes",1,0)</f>
        <v>0</v>
      </c>
      <c r="G107" s="8">
        <f>IF(B̳ases!H105="Yes",1,0)</f>
        <v>0</v>
      </c>
      <c r="H107" s="8">
        <f>IF(B̳ases!J105="Yes",1,0)</f>
        <v>1</v>
      </c>
      <c r="I107" s="11">
        <f>B̳ases!M105</f>
        <v>18</v>
      </c>
      <c r="J107" s="11">
        <f>B̳ases!L105</f>
        <v>12</v>
      </c>
      <c r="K107" s="9" t="str">
        <f>B̳ases!G105</f>
        <v>Quarterly</v>
      </c>
      <c r="L107" s="11">
        <f>IFERROR(VALUE(B̳ases!I105),0)</f>
        <v>0</v>
      </c>
      <c r="M107" s="11">
        <f>B̳ases!K105</f>
        <v>20</v>
      </c>
      <c r="N107" s="6"/>
      <c r="O107" s="6"/>
      <c r="P107" s="6"/>
      <c r="Q107" s="6"/>
    </row>
    <row r="108" spans="1:17" ht="16.5" x14ac:dyDescent="0.3">
      <c r="A108" s="8">
        <f>B̳ases!A106</f>
        <v>3335</v>
      </c>
      <c r="B108" s="9" t="str">
        <f>B̳ases!C106</f>
        <v>Core</v>
      </c>
      <c r="C108" s="10">
        <f>B̳ases!D106</f>
        <v>45452</v>
      </c>
      <c r="D108" s="9" t="str">
        <f t="shared" si="2"/>
        <v>jun</v>
      </c>
      <c r="E108" s="8">
        <f t="shared" si="3"/>
        <v>6</v>
      </c>
      <c r="F108" s="8">
        <f>IF(B̳ases!E106="Yes",1,0)</f>
        <v>1</v>
      </c>
      <c r="G108" s="8">
        <f>IF(B̳ases!H106="Yes",1,0)</f>
        <v>0</v>
      </c>
      <c r="H108" s="8">
        <f>IF(B̳ases!J106="Yes",1,0)</f>
        <v>0</v>
      </c>
      <c r="I108" s="11">
        <f>B̳ases!M106</f>
        <v>3</v>
      </c>
      <c r="J108" s="11">
        <f>B̳ases!L106</f>
        <v>2</v>
      </c>
      <c r="K108" s="9" t="str">
        <f>B̳ases!G106</f>
        <v>Monthly</v>
      </c>
      <c r="L108" s="11">
        <f>IFERROR(VALUE(B̳ases!I106),0)</f>
        <v>0</v>
      </c>
      <c r="M108" s="11">
        <f>B̳ases!K106</f>
        <v>0</v>
      </c>
      <c r="N108" s="6"/>
      <c r="O108" s="6"/>
      <c r="P108" s="6"/>
      <c r="Q108" s="6"/>
    </row>
    <row r="109" spans="1:17" ht="16.5" x14ac:dyDescent="0.3">
      <c r="A109" s="8">
        <f>B̳ases!A107</f>
        <v>3336</v>
      </c>
      <c r="B109" s="9" t="str">
        <f>B̳ases!C107</f>
        <v>Core</v>
      </c>
      <c r="C109" s="10">
        <f>B̳ases!D107</f>
        <v>45453</v>
      </c>
      <c r="D109" s="9" t="str">
        <f t="shared" si="2"/>
        <v>jun</v>
      </c>
      <c r="E109" s="8">
        <f t="shared" si="3"/>
        <v>6</v>
      </c>
      <c r="F109" s="8">
        <f>IF(B̳ases!E107="Yes",1,0)</f>
        <v>1</v>
      </c>
      <c r="G109" s="8">
        <f>IF(B̳ases!H107="Yes",1,0)</f>
        <v>0</v>
      </c>
      <c r="H109" s="8">
        <f>IF(B̳ases!J107="Yes",1,0)</f>
        <v>0</v>
      </c>
      <c r="I109" s="11">
        <f>B̳ases!M107</f>
        <v>5</v>
      </c>
      <c r="J109" s="11">
        <f>B̳ases!L107</f>
        <v>0</v>
      </c>
      <c r="K109" s="9" t="str">
        <f>B̳ases!G107</f>
        <v>Monthly</v>
      </c>
      <c r="L109" s="11">
        <f>IFERROR(VALUE(B̳ases!I107),0)</f>
        <v>0</v>
      </c>
      <c r="M109" s="11">
        <f>B̳ases!K107</f>
        <v>0</v>
      </c>
      <c r="N109" s="6"/>
      <c r="O109" s="6"/>
      <c r="P109" s="6"/>
      <c r="Q109" s="6"/>
    </row>
    <row r="110" spans="1:17" ht="16.5" x14ac:dyDescent="0.3">
      <c r="A110" s="8">
        <f>B̳ases!A108</f>
        <v>3337</v>
      </c>
      <c r="B110" s="9" t="str">
        <f>B̳ases!C108</f>
        <v>Ultimate</v>
      </c>
      <c r="C110" s="10">
        <f>B̳ases!D108</f>
        <v>45454</v>
      </c>
      <c r="D110" s="9" t="str">
        <f t="shared" si="2"/>
        <v>jun</v>
      </c>
      <c r="E110" s="8">
        <f t="shared" si="3"/>
        <v>6</v>
      </c>
      <c r="F110" s="8">
        <f>IF(B̳ases!E108="Yes",1,0)</f>
        <v>0</v>
      </c>
      <c r="G110" s="8">
        <f>IF(B̳ases!H108="Yes",1,0)</f>
        <v>1</v>
      </c>
      <c r="H110" s="8">
        <f>IF(B̳ases!J108="Yes",1,0)</f>
        <v>1</v>
      </c>
      <c r="I110" s="11">
        <f>B̳ases!M108</f>
        <v>58</v>
      </c>
      <c r="J110" s="11">
        <f>B̳ases!L108</f>
        <v>7</v>
      </c>
      <c r="K110" s="9" t="str">
        <f>B̳ases!G108</f>
        <v>Quarterly</v>
      </c>
      <c r="L110" s="11">
        <f>IFERROR(VALUE(B̳ases!I108),0)</f>
        <v>30</v>
      </c>
      <c r="M110" s="11">
        <f>B̳ases!K108</f>
        <v>20</v>
      </c>
      <c r="N110" s="6"/>
      <c r="O110" s="6"/>
      <c r="P110" s="6"/>
      <c r="Q110" s="6"/>
    </row>
    <row r="111" spans="1:17" ht="16.5" x14ac:dyDescent="0.3">
      <c r="A111" s="8">
        <f>B̳ases!A109</f>
        <v>3338</v>
      </c>
      <c r="B111" s="9" t="str">
        <f>B̳ases!C109</f>
        <v>Standard</v>
      </c>
      <c r="C111" s="10">
        <f>B̳ases!D109</f>
        <v>45455</v>
      </c>
      <c r="D111" s="9" t="str">
        <f t="shared" si="2"/>
        <v>jun</v>
      </c>
      <c r="E111" s="8">
        <f t="shared" si="3"/>
        <v>6</v>
      </c>
      <c r="F111" s="8">
        <f>IF(B̳ases!E109="Yes",1,0)</f>
        <v>1</v>
      </c>
      <c r="G111" s="8">
        <f>IF(B̳ases!H109="Yes",1,0)</f>
        <v>0</v>
      </c>
      <c r="H111" s="8">
        <f>IF(B̳ases!J109="Yes",1,0)</f>
        <v>1</v>
      </c>
      <c r="I111" s="11">
        <f>B̳ases!M109</f>
        <v>20</v>
      </c>
      <c r="J111" s="11">
        <f>B̳ases!L109</f>
        <v>10</v>
      </c>
      <c r="K111" s="9" t="str">
        <f>B̳ases!G109</f>
        <v>Annual</v>
      </c>
      <c r="L111" s="11">
        <f>IFERROR(VALUE(B̳ases!I109),0)</f>
        <v>0</v>
      </c>
      <c r="M111" s="11">
        <f>B̳ases!K109</f>
        <v>20</v>
      </c>
      <c r="N111" s="6"/>
      <c r="O111" s="6"/>
      <c r="P111" s="6"/>
      <c r="Q111" s="6"/>
    </row>
    <row r="112" spans="1:17" ht="16.5" x14ac:dyDescent="0.3">
      <c r="A112" s="8">
        <f>B̳ases!A110</f>
        <v>3339</v>
      </c>
      <c r="B112" s="9" t="str">
        <f>B̳ases!C110</f>
        <v>Core</v>
      </c>
      <c r="C112" s="10">
        <f>B̳ases!D110</f>
        <v>45456</v>
      </c>
      <c r="D112" s="9" t="str">
        <f t="shared" si="2"/>
        <v>jun</v>
      </c>
      <c r="E112" s="8">
        <f t="shared" si="3"/>
        <v>6</v>
      </c>
      <c r="F112" s="8">
        <f>IF(B̳ases!E110="Yes",1,0)</f>
        <v>0</v>
      </c>
      <c r="G112" s="8">
        <f>IF(B̳ases!H110="Yes",1,0)</f>
        <v>0</v>
      </c>
      <c r="H112" s="8">
        <f>IF(B̳ases!J110="Yes",1,0)</f>
        <v>0</v>
      </c>
      <c r="I112" s="11">
        <f>B̳ases!M110</f>
        <v>4</v>
      </c>
      <c r="J112" s="11">
        <f>B̳ases!L110</f>
        <v>1</v>
      </c>
      <c r="K112" s="9" t="str">
        <f>B̳ases!G110</f>
        <v>Quarterly</v>
      </c>
      <c r="L112" s="11">
        <f>IFERROR(VALUE(B̳ases!I110),0)</f>
        <v>0</v>
      </c>
      <c r="M112" s="11">
        <f>B̳ases!K110</f>
        <v>0</v>
      </c>
      <c r="N112" s="6"/>
      <c r="O112" s="6"/>
      <c r="P112" s="6"/>
      <c r="Q112" s="6"/>
    </row>
    <row r="113" spans="1:17" ht="16.5" x14ac:dyDescent="0.3">
      <c r="A113" s="8">
        <f>B̳ases!A111</f>
        <v>3340</v>
      </c>
      <c r="B113" s="9" t="str">
        <f>B̳ases!C111</f>
        <v>Ultimate</v>
      </c>
      <c r="C113" s="10">
        <f>B̳ases!D111</f>
        <v>45457</v>
      </c>
      <c r="D113" s="9" t="str">
        <f t="shared" si="2"/>
        <v>jun</v>
      </c>
      <c r="E113" s="8">
        <f t="shared" si="3"/>
        <v>6</v>
      </c>
      <c r="F113" s="8">
        <f>IF(B̳ases!E111="Yes",1,0)</f>
        <v>1</v>
      </c>
      <c r="G113" s="8">
        <f>IF(B̳ases!H111="Yes",1,0)</f>
        <v>1</v>
      </c>
      <c r="H113" s="8">
        <f>IF(B̳ases!J111="Yes",1,0)</f>
        <v>1</v>
      </c>
      <c r="I113" s="11">
        <f>B̳ases!M111</f>
        <v>50</v>
      </c>
      <c r="J113" s="11">
        <f>B̳ases!L111</f>
        <v>15</v>
      </c>
      <c r="K113" s="9" t="str">
        <f>B̳ases!G111</f>
        <v>Monthly</v>
      </c>
      <c r="L113" s="11">
        <f>IFERROR(VALUE(B̳ases!I111),0)</f>
        <v>30</v>
      </c>
      <c r="M113" s="11">
        <f>B̳ases!K111</f>
        <v>20</v>
      </c>
      <c r="N113" s="6"/>
      <c r="O113" s="6"/>
      <c r="P113" s="6"/>
      <c r="Q113" s="6"/>
    </row>
    <row r="114" spans="1:17" ht="16.5" x14ac:dyDescent="0.3">
      <c r="A114" s="8">
        <f>B̳ases!A112</f>
        <v>3341</v>
      </c>
      <c r="B114" s="9" t="str">
        <f>B̳ases!C112</f>
        <v>Standard</v>
      </c>
      <c r="C114" s="10">
        <f>B̳ases!D112</f>
        <v>45458</v>
      </c>
      <c r="D114" s="9" t="str">
        <f t="shared" si="2"/>
        <v>jun</v>
      </c>
      <c r="E114" s="8">
        <f t="shared" si="3"/>
        <v>6</v>
      </c>
      <c r="F114" s="8">
        <f>IF(B̳ases!E112="Yes",1,0)</f>
        <v>0</v>
      </c>
      <c r="G114" s="8">
        <f>IF(B̳ases!H112="Yes",1,0)</f>
        <v>0</v>
      </c>
      <c r="H114" s="8">
        <f>IF(B̳ases!J112="Yes",1,0)</f>
        <v>1</v>
      </c>
      <c r="I114" s="11">
        <f>B̳ases!M112</f>
        <v>25</v>
      </c>
      <c r="J114" s="11">
        <f>B̳ases!L112</f>
        <v>5</v>
      </c>
      <c r="K114" s="9" t="str">
        <f>B̳ases!G112</f>
        <v>Monthly</v>
      </c>
      <c r="L114" s="11">
        <f>IFERROR(VALUE(B̳ases!I112),0)</f>
        <v>0</v>
      </c>
      <c r="M114" s="11">
        <f>B̳ases!K112</f>
        <v>20</v>
      </c>
      <c r="N114" s="6"/>
      <c r="O114" s="6"/>
      <c r="P114" s="6"/>
      <c r="Q114" s="6"/>
    </row>
    <row r="115" spans="1:17" ht="16.5" x14ac:dyDescent="0.3">
      <c r="A115" s="8">
        <f>B̳ases!A113</f>
        <v>3342</v>
      </c>
      <c r="B115" s="9" t="str">
        <f>B̳ases!C113</f>
        <v>Core</v>
      </c>
      <c r="C115" s="10">
        <f>B̳ases!D113</f>
        <v>45459</v>
      </c>
      <c r="D115" s="9" t="str">
        <f t="shared" si="2"/>
        <v>jun</v>
      </c>
      <c r="E115" s="8">
        <f t="shared" si="3"/>
        <v>6</v>
      </c>
      <c r="F115" s="8">
        <f>IF(B̳ases!E113="Yes",1,0)</f>
        <v>1</v>
      </c>
      <c r="G115" s="8">
        <f>IF(B̳ases!H113="Yes",1,0)</f>
        <v>0</v>
      </c>
      <c r="H115" s="8">
        <f>IF(B̳ases!J113="Yes",1,0)</f>
        <v>0</v>
      </c>
      <c r="I115" s="11">
        <f>B̳ases!M113</f>
        <v>5</v>
      </c>
      <c r="J115" s="11">
        <f>B̳ases!L113</f>
        <v>0</v>
      </c>
      <c r="K115" s="9" t="str">
        <f>B̳ases!G113</f>
        <v>Annual</v>
      </c>
      <c r="L115" s="11">
        <f>IFERROR(VALUE(B̳ases!I113),0)</f>
        <v>0</v>
      </c>
      <c r="M115" s="11">
        <f>B̳ases!K113</f>
        <v>0</v>
      </c>
      <c r="N115" s="6"/>
      <c r="O115" s="6"/>
      <c r="P115" s="6"/>
      <c r="Q115" s="6"/>
    </row>
    <row r="116" spans="1:17" ht="16.5" x14ac:dyDescent="0.3">
      <c r="A116" s="8">
        <f>B̳ases!A114</f>
        <v>3343</v>
      </c>
      <c r="B116" s="9" t="str">
        <f>B̳ases!C114</f>
        <v>Ultimate</v>
      </c>
      <c r="C116" s="10">
        <f>B̳ases!D114</f>
        <v>45460</v>
      </c>
      <c r="D116" s="9" t="str">
        <f t="shared" si="2"/>
        <v>jun</v>
      </c>
      <c r="E116" s="8">
        <f t="shared" si="3"/>
        <v>6</v>
      </c>
      <c r="F116" s="8">
        <f>IF(B̳ases!E114="Yes",1,0)</f>
        <v>0</v>
      </c>
      <c r="G116" s="8">
        <f>IF(B̳ases!H114="Yes",1,0)</f>
        <v>1</v>
      </c>
      <c r="H116" s="8">
        <f>IF(B̳ases!J114="Yes",1,0)</f>
        <v>1</v>
      </c>
      <c r="I116" s="11">
        <f>B̳ases!M114</f>
        <v>45</v>
      </c>
      <c r="J116" s="11">
        <f>B̳ases!L114</f>
        <v>20</v>
      </c>
      <c r="K116" s="9" t="str">
        <f>B̳ases!G114</f>
        <v>Quarterly</v>
      </c>
      <c r="L116" s="11">
        <f>IFERROR(VALUE(B̳ases!I114),0)</f>
        <v>30</v>
      </c>
      <c r="M116" s="11">
        <f>B̳ases!K114</f>
        <v>20</v>
      </c>
      <c r="N116" s="6"/>
      <c r="O116" s="6"/>
      <c r="P116" s="6"/>
      <c r="Q116" s="6"/>
    </row>
    <row r="117" spans="1:17" ht="16.5" x14ac:dyDescent="0.3">
      <c r="A117" s="8">
        <f>B̳ases!A115</f>
        <v>3344</v>
      </c>
      <c r="B117" s="9" t="str">
        <f>B̳ases!C115</f>
        <v>Standard</v>
      </c>
      <c r="C117" s="10">
        <f>B̳ases!D115</f>
        <v>45461</v>
      </c>
      <c r="D117" s="9" t="str">
        <f t="shared" si="2"/>
        <v>jun</v>
      </c>
      <c r="E117" s="8">
        <f t="shared" si="3"/>
        <v>6</v>
      </c>
      <c r="F117" s="8">
        <f>IF(B̳ases!E115="Yes",1,0)</f>
        <v>1</v>
      </c>
      <c r="G117" s="8">
        <f>IF(B̳ases!H115="Yes",1,0)</f>
        <v>0</v>
      </c>
      <c r="H117" s="8">
        <f>IF(B̳ases!J115="Yes",1,0)</f>
        <v>1</v>
      </c>
      <c r="I117" s="11">
        <f>B̳ases!M115</f>
        <v>18</v>
      </c>
      <c r="J117" s="11">
        <f>B̳ases!L115</f>
        <v>12</v>
      </c>
      <c r="K117" s="9" t="str">
        <f>B̳ases!G115</f>
        <v>Quarterly</v>
      </c>
      <c r="L117" s="11">
        <f>IFERROR(VALUE(B̳ases!I115),0)</f>
        <v>0</v>
      </c>
      <c r="M117" s="11">
        <f>B̳ases!K115</f>
        <v>20</v>
      </c>
      <c r="N117" s="6"/>
      <c r="O117" s="6"/>
      <c r="P117" s="6"/>
      <c r="Q117" s="6"/>
    </row>
    <row r="118" spans="1:17" ht="16.5" x14ac:dyDescent="0.3">
      <c r="A118" s="8">
        <f>B̳ases!A116</f>
        <v>3345</v>
      </c>
      <c r="B118" s="9" t="str">
        <f>B̳ases!C116</f>
        <v>Core</v>
      </c>
      <c r="C118" s="10">
        <f>B̳ases!D116</f>
        <v>45462</v>
      </c>
      <c r="D118" s="9" t="str">
        <f t="shared" si="2"/>
        <v>jun</v>
      </c>
      <c r="E118" s="8">
        <f t="shared" si="3"/>
        <v>6</v>
      </c>
      <c r="F118" s="8">
        <f>IF(B̳ases!E116="Yes",1,0)</f>
        <v>0</v>
      </c>
      <c r="G118" s="8">
        <f>IF(B̳ases!H116="Yes",1,0)</f>
        <v>0</v>
      </c>
      <c r="H118" s="8">
        <f>IF(B̳ases!J116="Yes",1,0)</f>
        <v>0</v>
      </c>
      <c r="I118" s="11">
        <f>B̳ases!M116</f>
        <v>3</v>
      </c>
      <c r="J118" s="11">
        <f>B̳ases!L116</f>
        <v>2</v>
      </c>
      <c r="K118" s="9" t="str">
        <f>B̳ases!G116</f>
        <v>Monthly</v>
      </c>
      <c r="L118" s="11">
        <f>IFERROR(VALUE(B̳ases!I116),0)</f>
        <v>0</v>
      </c>
      <c r="M118" s="11">
        <f>B̳ases!K116</f>
        <v>0</v>
      </c>
      <c r="N118" s="6"/>
      <c r="O118" s="6"/>
      <c r="P118" s="6"/>
      <c r="Q118" s="6"/>
    </row>
    <row r="119" spans="1:17" ht="16.5" x14ac:dyDescent="0.3">
      <c r="A119" s="8">
        <f>B̳ases!A117</f>
        <v>3346</v>
      </c>
      <c r="B119" s="9" t="str">
        <f>B̳ases!C117</f>
        <v>Ultimate</v>
      </c>
      <c r="C119" s="10">
        <f>B̳ases!D117</f>
        <v>45463</v>
      </c>
      <c r="D119" s="9" t="str">
        <f t="shared" si="2"/>
        <v>jun</v>
      </c>
      <c r="E119" s="8">
        <f t="shared" si="3"/>
        <v>6</v>
      </c>
      <c r="F119" s="8">
        <f>IF(B̳ases!E117="Yes",1,0)</f>
        <v>1</v>
      </c>
      <c r="G119" s="8">
        <f>IF(B̳ases!H117="Yes",1,0)</f>
        <v>1</v>
      </c>
      <c r="H119" s="8">
        <f>IF(B̳ases!J117="Yes",1,0)</f>
        <v>1</v>
      </c>
      <c r="I119" s="11">
        <f>B̳ases!M117</f>
        <v>60</v>
      </c>
      <c r="J119" s="11">
        <f>B̳ases!L117</f>
        <v>5</v>
      </c>
      <c r="K119" s="9" t="str">
        <f>B̳ases!G117</f>
        <v>Annual</v>
      </c>
      <c r="L119" s="11">
        <f>IFERROR(VALUE(B̳ases!I117),0)</f>
        <v>30</v>
      </c>
      <c r="M119" s="11">
        <f>B̳ases!K117</f>
        <v>20</v>
      </c>
      <c r="N119" s="6"/>
      <c r="O119" s="6"/>
      <c r="P119" s="6"/>
      <c r="Q119" s="6"/>
    </row>
    <row r="120" spans="1:17" ht="16.5" x14ac:dyDescent="0.3">
      <c r="A120" s="8">
        <f>B̳ases!A118</f>
        <v>3347</v>
      </c>
      <c r="B120" s="9" t="str">
        <f>B̳ases!C118</f>
        <v>Standard</v>
      </c>
      <c r="C120" s="10">
        <f>B̳ases!D118</f>
        <v>45464</v>
      </c>
      <c r="D120" s="9" t="str">
        <f t="shared" si="2"/>
        <v>jun</v>
      </c>
      <c r="E120" s="8">
        <f t="shared" si="3"/>
        <v>6</v>
      </c>
      <c r="F120" s="8">
        <f>IF(B̳ases!E118="Yes",1,0)</f>
        <v>0</v>
      </c>
      <c r="G120" s="8">
        <f>IF(B̳ases!H118="Yes",1,0)</f>
        <v>0</v>
      </c>
      <c r="H120" s="8">
        <f>IF(B̳ases!J118="Yes",1,0)</f>
        <v>1</v>
      </c>
      <c r="I120" s="11">
        <f>B̳ases!M118</f>
        <v>20</v>
      </c>
      <c r="J120" s="11">
        <f>B̳ases!L118</f>
        <v>10</v>
      </c>
      <c r="K120" s="9" t="str">
        <f>B̳ases!G118</f>
        <v>Monthly</v>
      </c>
      <c r="L120" s="11">
        <f>IFERROR(VALUE(B̳ases!I118),0)</f>
        <v>0</v>
      </c>
      <c r="M120" s="11">
        <f>B̳ases!K118</f>
        <v>20</v>
      </c>
      <c r="N120" s="6"/>
      <c r="O120" s="6"/>
      <c r="P120" s="6"/>
      <c r="Q120" s="6"/>
    </row>
    <row r="121" spans="1:17" ht="16.5" x14ac:dyDescent="0.3">
      <c r="A121" s="8">
        <f>B̳ases!A119</f>
        <v>3348</v>
      </c>
      <c r="B121" s="9" t="str">
        <f>B̳ases!C119</f>
        <v>Core</v>
      </c>
      <c r="C121" s="10">
        <f>B̳ases!D119</f>
        <v>45465</v>
      </c>
      <c r="D121" s="9" t="str">
        <f t="shared" si="2"/>
        <v>jun</v>
      </c>
      <c r="E121" s="8">
        <f t="shared" si="3"/>
        <v>6</v>
      </c>
      <c r="F121" s="8">
        <f>IF(B̳ases!E119="Yes",1,0)</f>
        <v>1</v>
      </c>
      <c r="G121" s="8">
        <f>IF(B̳ases!H119="Yes",1,0)</f>
        <v>0</v>
      </c>
      <c r="H121" s="8">
        <f>IF(B̳ases!J119="Yes",1,0)</f>
        <v>0</v>
      </c>
      <c r="I121" s="11">
        <f>B̳ases!M119</f>
        <v>5</v>
      </c>
      <c r="J121" s="11">
        <f>B̳ases!L119</f>
        <v>0</v>
      </c>
      <c r="K121" s="9" t="str">
        <f>B̳ases!G119</f>
        <v>Quarterly</v>
      </c>
      <c r="L121" s="11">
        <f>IFERROR(VALUE(B̳ases!I119),0)</f>
        <v>0</v>
      </c>
      <c r="M121" s="11">
        <f>B̳ases!K119</f>
        <v>0</v>
      </c>
      <c r="N121" s="6"/>
      <c r="O121" s="6"/>
      <c r="P121" s="6"/>
      <c r="Q121" s="6"/>
    </row>
    <row r="122" spans="1:17" ht="16.5" x14ac:dyDescent="0.3">
      <c r="A122" s="8">
        <f>B̳ases!A120</f>
        <v>3349</v>
      </c>
      <c r="B122" s="9" t="str">
        <f>B̳ases!C120</f>
        <v>Ultimate</v>
      </c>
      <c r="C122" s="10">
        <f>B̳ases!D120</f>
        <v>45466</v>
      </c>
      <c r="D122" s="9" t="str">
        <f t="shared" si="2"/>
        <v>jun</v>
      </c>
      <c r="E122" s="8">
        <f t="shared" si="3"/>
        <v>6</v>
      </c>
      <c r="F122" s="8">
        <f>IF(B̳ases!E120="Yes",1,0)</f>
        <v>0</v>
      </c>
      <c r="G122" s="8">
        <f>IF(B̳ases!H120="Yes",1,0)</f>
        <v>1</v>
      </c>
      <c r="H122" s="8">
        <f>IF(B̳ases!J120="Yes",1,0)</f>
        <v>1</v>
      </c>
      <c r="I122" s="11">
        <f>B̳ases!M120</f>
        <v>62</v>
      </c>
      <c r="J122" s="11">
        <f>B̳ases!L120</f>
        <v>3</v>
      </c>
      <c r="K122" s="9" t="str">
        <f>B̳ases!G120</f>
        <v>Monthly</v>
      </c>
      <c r="L122" s="11">
        <f>IFERROR(VALUE(B̳ases!I120),0)</f>
        <v>30</v>
      </c>
      <c r="M122" s="11">
        <f>B̳ases!K120</f>
        <v>20</v>
      </c>
      <c r="N122" s="6"/>
      <c r="O122" s="6"/>
      <c r="P122" s="6"/>
      <c r="Q122" s="6"/>
    </row>
    <row r="123" spans="1:17" ht="16.5" x14ac:dyDescent="0.3">
      <c r="A123" s="8">
        <f>B̳ases!A121</f>
        <v>3350</v>
      </c>
      <c r="B123" s="9" t="str">
        <f>B̳ases!C121</f>
        <v>Standard</v>
      </c>
      <c r="C123" s="10">
        <f>B̳ases!D121</f>
        <v>45467</v>
      </c>
      <c r="D123" s="9" t="str">
        <f t="shared" si="2"/>
        <v>jun</v>
      </c>
      <c r="E123" s="8">
        <f t="shared" si="3"/>
        <v>6</v>
      </c>
      <c r="F123" s="8">
        <f>IF(B̳ases!E121="Yes",1,0)</f>
        <v>1</v>
      </c>
      <c r="G123" s="8">
        <f>IF(B̳ases!H121="Yes",1,0)</f>
        <v>0</v>
      </c>
      <c r="H123" s="8">
        <f>IF(B̳ases!J121="Yes",1,0)</f>
        <v>1</v>
      </c>
      <c r="I123" s="11">
        <f>B̳ases!M121</f>
        <v>15</v>
      </c>
      <c r="J123" s="11">
        <f>B̳ases!L121</f>
        <v>15</v>
      </c>
      <c r="K123" s="9" t="str">
        <f>B̳ases!G121</f>
        <v>Annual</v>
      </c>
      <c r="L123" s="11">
        <f>IFERROR(VALUE(B̳ases!I121),0)</f>
        <v>0</v>
      </c>
      <c r="M123" s="11">
        <f>B̳ases!K121</f>
        <v>20</v>
      </c>
      <c r="N123" s="6"/>
      <c r="O123" s="6"/>
      <c r="P123" s="6"/>
      <c r="Q123" s="6"/>
    </row>
    <row r="124" spans="1:17" ht="16.5" x14ac:dyDescent="0.3">
      <c r="A124" s="8">
        <f>B̳ases!A122</f>
        <v>3351</v>
      </c>
      <c r="B124" s="9" t="str">
        <f>B̳ases!C122</f>
        <v>Core</v>
      </c>
      <c r="C124" s="10">
        <f>B̳ases!D122</f>
        <v>45468</v>
      </c>
      <c r="D124" s="9" t="str">
        <f t="shared" si="2"/>
        <v>jun</v>
      </c>
      <c r="E124" s="8">
        <f t="shared" si="3"/>
        <v>6</v>
      </c>
      <c r="F124" s="8">
        <f>IF(B̳ases!E122="Yes",1,0)</f>
        <v>0</v>
      </c>
      <c r="G124" s="8">
        <f>IF(B̳ases!H122="Yes",1,0)</f>
        <v>0</v>
      </c>
      <c r="H124" s="8">
        <f>IF(B̳ases!J122="Yes",1,0)</f>
        <v>0</v>
      </c>
      <c r="I124" s="11">
        <f>B̳ases!M122</f>
        <v>4</v>
      </c>
      <c r="J124" s="11">
        <f>B̳ases!L122</f>
        <v>1</v>
      </c>
      <c r="K124" s="9" t="str">
        <f>B̳ases!G122</f>
        <v>Monthly</v>
      </c>
      <c r="L124" s="11">
        <f>IFERROR(VALUE(B̳ases!I122),0)</f>
        <v>0</v>
      </c>
      <c r="M124" s="11">
        <f>B̳ases!K122</f>
        <v>0</v>
      </c>
      <c r="N124" s="6"/>
      <c r="O124" s="6"/>
      <c r="P124" s="6"/>
      <c r="Q124" s="6"/>
    </row>
    <row r="125" spans="1:17" ht="16.5" x14ac:dyDescent="0.3">
      <c r="A125" s="8">
        <f>B̳ases!A123</f>
        <v>3352</v>
      </c>
      <c r="B125" s="9" t="str">
        <f>B̳ases!C123</f>
        <v>Ultimate</v>
      </c>
      <c r="C125" s="10">
        <f>B̳ases!D123</f>
        <v>45469</v>
      </c>
      <c r="D125" s="9" t="str">
        <f t="shared" si="2"/>
        <v>jun</v>
      </c>
      <c r="E125" s="8">
        <f t="shared" si="3"/>
        <v>6</v>
      </c>
      <c r="F125" s="8">
        <f>IF(B̳ases!E123="Yes",1,0)</f>
        <v>1</v>
      </c>
      <c r="G125" s="8">
        <f>IF(B̳ases!H123="Yes",1,0)</f>
        <v>1</v>
      </c>
      <c r="H125" s="8">
        <f>IF(B̳ases!J123="Yes",1,0)</f>
        <v>1</v>
      </c>
      <c r="I125" s="11">
        <f>B̳ases!M123</f>
        <v>58</v>
      </c>
      <c r="J125" s="11">
        <f>B̳ases!L123</f>
        <v>7</v>
      </c>
      <c r="K125" s="9" t="str">
        <f>B̳ases!G123</f>
        <v>Quarterly</v>
      </c>
      <c r="L125" s="11">
        <f>IFERROR(VALUE(B̳ases!I123),0)</f>
        <v>30</v>
      </c>
      <c r="M125" s="11">
        <f>B̳ases!K123</f>
        <v>20</v>
      </c>
      <c r="N125" s="6"/>
      <c r="O125" s="6"/>
      <c r="P125" s="6"/>
      <c r="Q125" s="6"/>
    </row>
    <row r="126" spans="1:17" ht="16.5" x14ac:dyDescent="0.3">
      <c r="A126" s="8">
        <f>B̳ases!A124</f>
        <v>3353</v>
      </c>
      <c r="B126" s="9" t="str">
        <f>B̳ases!C124</f>
        <v>Standard</v>
      </c>
      <c r="C126" s="10">
        <f>B̳ases!D124</f>
        <v>45470</v>
      </c>
      <c r="D126" s="9" t="str">
        <f t="shared" si="2"/>
        <v>jun</v>
      </c>
      <c r="E126" s="8">
        <f t="shared" si="3"/>
        <v>6</v>
      </c>
      <c r="F126" s="8">
        <f>IF(B̳ases!E124="Yes",1,0)</f>
        <v>0</v>
      </c>
      <c r="G126" s="8">
        <f>IF(B̳ases!H124="Yes",1,0)</f>
        <v>0</v>
      </c>
      <c r="H126" s="8">
        <f>IF(B̳ases!J124="Yes",1,0)</f>
        <v>1</v>
      </c>
      <c r="I126" s="11">
        <f>B̳ases!M124</f>
        <v>20</v>
      </c>
      <c r="J126" s="11">
        <f>B̳ases!L124</f>
        <v>10</v>
      </c>
      <c r="K126" s="9" t="str">
        <f>B̳ases!G124</f>
        <v>Monthly</v>
      </c>
      <c r="L126" s="11">
        <f>IFERROR(VALUE(B̳ases!I124),0)</f>
        <v>0</v>
      </c>
      <c r="M126" s="11">
        <f>B̳ases!K124</f>
        <v>20</v>
      </c>
      <c r="N126" s="6"/>
      <c r="O126" s="6"/>
      <c r="P126" s="6"/>
      <c r="Q126" s="6"/>
    </row>
    <row r="127" spans="1:17" ht="16.5" x14ac:dyDescent="0.3">
      <c r="A127" s="8">
        <f>B̳ases!A125</f>
        <v>3354</v>
      </c>
      <c r="B127" s="9" t="str">
        <f>B̳ases!C125</f>
        <v>Core</v>
      </c>
      <c r="C127" s="10">
        <f>B̳ases!D125</f>
        <v>45471</v>
      </c>
      <c r="D127" s="9" t="str">
        <f t="shared" si="2"/>
        <v>jun</v>
      </c>
      <c r="E127" s="8">
        <f t="shared" si="3"/>
        <v>6</v>
      </c>
      <c r="F127" s="8">
        <f>IF(B̳ases!E125="Yes",1,0)</f>
        <v>1</v>
      </c>
      <c r="G127" s="8">
        <f>IF(B̳ases!H125="Yes",1,0)</f>
        <v>0</v>
      </c>
      <c r="H127" s="8">
        <f>IF(B̳ases!J125="Yes",1,0)</f>
        <v>0</v>
      </c>
      <c r="I127" s="11">
        <f>B̳ases!M125</f>
        <v>5</v>
      </c>
      <c r="J127" s="11">
        <f>B̳ases!L125</f>
        <v>0</v>
      </c>
      <c r="K127" s="9" t="str">
        <f>B̳ases!G125</f>
        <v>Annual</v>
      </c>
      <c r="L127" s="11">
        <f>IFERROR(VALUE(B̳ases!I125),0)</f>
        <v>0</v>
      </c>
      <c r="M127" s="11">
        <f>B̳ases!K125</f>
        <v>0</v>
      </c>
      <c r="N127" s="6"/>
      <c r="O127" s="6"/>
      <c r="P127" s="6"/>
      <c r="Q127" s="6"/>
    </row>
    <row r="128" spans="1:17" ht="16.5" x14ac:dyDescent="0.3">
      <c r="A128" s="8">
        <f>B̳ases!A126</f>
        <v>3355</v>
      </c>
      <c r="B128" s="9" t="str">
        <f>B̳ases!C126</f>
        <v>Ultimate</v>
      </c>
      <c r="C128" s="10">
        <f>B̳ases!D126</f>
        <v>45472</v>
      </c>
      <c r="D128" s="9" t="str">
        <f t="shared" si="2"/>
        <v>jun</v>
      </c>
      <c r="E128" s="8">
        <f t="shared" si="3"/>
        <v>6</v>
      </c>
      <c r="F128" s="8">
        <f>IF(B̳ases!E126="Yes",1,0)</f>
        <v>0</v>
      </c>
      <c r="G128" s="8">
        <f>IF(B̳ases!H126="Yes",1,0)</f>
        <v>1</v>
      </c>
      <c r="H128" s="8">
        <f>IF(B̳ases!J126="Yes",1,0)</f>
        <v>1</v>
      </c>
      <c r="I128" s="11">
        <f>B̳ases!M126</f>
        <v>45</v>
      </c>
      <c r="J128" s="11">
        <f>B̳ases!L126</f>
        <v>20</v>
      </c>
      <c r="K128" s="9" t="str">
        <f>B̳ases!G126</f>
        <v>Monthly</v>
      </c>
      <c r="L128" s="11">
        <f>IFERROR(VALUE(B̳ases!I126),0)</f>
        <v>30</v>
      </c>
      <c r="M128" s="11">
        <f>B̳ases!K126</f>
        <v>20</v>
      </c>
      <c r="N128" s="6"/>
      <c r="O128" s="6"/>
      <c r="P128" s="6"/>
      <c r="Q128" s="6"/>
    </row>
    <row r="129" spans="1:17" ht="16.5" x14ac:dyDescent="0.3">
      <c r="A129" s="8">
        <f>B̳ases!A127</f>
        <v>3356</v>
      </c>
      <c r="B129" s="9" t="str">
        <f>B̳ases!C127</f>
        <v>Standard</v>
      </c>
      <c r="C129" s="10">
        <f>B̳ases!D127</f>
        <v>45473</v>
      </c>
      <c r="D129" s="9" t="str">
        <f t="shared" si="2"/>
        <v>jun</v>
      </c>
      <c r="E129" s="8">
        <f t="shared" si="3"/>
        <v>6</v>
      </c>
      <c r="F129" s="8">
        <f>IF(B̳ases!E127="Yes",1,0)</f>
        <v>1</v>
      </c>
      <c r="G129" s="8">
        <f>IF(B̳ases!H127="Yes",1,0)</f>
        <v>0</v>
      </c>
      <c r="H129" s="8">
        <f>IF(B̳ases!J127="Yes",1,0)</f>
        <v>1</v>
      </c>
      <c r="I129" s="11">
        <f>B̳ases!M127</f>
        <v>15</v>
      </c>
      <c r="J129" s="11">
        <f>B̳ases!L127</f>
        <v>15</v>
      </c>
      <c r="K129" s="9" t="str">
        <f>B̳ases!G127</f>
        <v>Quarterly</v>
      </c>
      <c r="L129" s="11">
        <f>IFERROR(VALUE(B̳ases!I127),0)</f>
        <v>0</v>
      </c>
      <c r="M129" s="11">
        <f>B̳ases!K127</f>
        <v>20</v>
      </c>
      <c r="N129" s="6"/>
      <c r="O129" s="6"/>
      <c r="P129" s="6"/>
      <c r="Q129" s="6"/>
    </row>
    <row r="130" spans="1:17" ht="16.5" x14ac:dyDescent="0.3">
      <c r="A130" s="8">
        <f>B̳ases!A128</f>
        <v>3357</v>
      </c>
      <c r="B130" s="9" t="str">
        <f>B̳ases!C128</f>
        <v>Core</v>
      </c>
      <c r="C130" s="10">
        <f>B̳ases!D128</f>
        <v>45474</v>
      </c>
      <c r="D130" s="9" t="str">
        <f t="shared" si="2"/>
        <v>jul</v>
      </c>
      <c r="E130" s="8">
        <f t="shared" si="3"/>
        <v>7</v>
      </c>
      <c r="F130" s="8">
        <f>IF(B̳ases!E128="Yes",1,0)</f>
        <v>0</v>
      </c>
      <c r="G130" s="8">
        <f>IF(B̳ases!H128="Yes",1,0)</f>
        <v>0</v>
      </c>
      <c r="H130" s="8">
        <f>IF(B̳ases!J128="Yes",1,0)</f>
        <v>0</v>
      </c>
      <c r="I130" s="11">
        <f>B̳ases!M128</f>
        <v>4</v>
      </c>
      <c r="J130" s="11">
        <f>B̳ases!L128</f>
        <v>1</v>
      </c>
      <c r="K130" s="9" t="str">
        <f>B̳ases!G128</f>
        <v>Monthly</v>
      </c>
      <c r="L130" s="11">
        <f>IFERROR(VALUE(B̳ases!I128),0)</f>
        <v>0</v>
      </c>
      <c r="M130" s="11">
        <f>B̳ases!K128</f>
        <v>0</v>
      </c>
      <c r="N130" s="6"/>
      <c r="O130" s="6"/>
      <c r="P130" s="6"/>
      <c r="Q130" s="6"/>
    </row>
    <row r="131" spans="1:17" ht="16.5" x14ac:dyDescent="0.3">
      <c r="A131" s="8">
        <f>B̳ases!A129</f>
        <v>3358</v>
      </c>
      <c r="B131" s="9" t="str">
        <f>B̳ases!C129</f>
        <v>Ultimate</v>
      </c>
      <c r="C131" s="10">
        <f>B̳ases!D129</f>
        <v>45475</v>
      </c>
      <c r="D131" s="9" t="str">
        <f t="shared" si="2"/>
        <v>jul</v>
      </c>
      <c r="E131" s="8">
        <f t="shared" si="3"/>
        <v>7</v>
      </c>
      <c r="F131" s="8">
        <f>IF(B̳ases!E129="Yes",1,0)</f>
        <v>1</v>
      </c>
      <c r="G131" s="8">
        <f>IF(B̳ases!H129="Yes",1,0)</f>
        <v>1</v>
      </c>
      <c r="H131" s="8">
        <f>IF(B̳ases!J129="Yes",1,0)</f>
        <v>1</v>
      </c>
      <c r="I131" s="11">
        <f>B̳ases!M129</f>
        <v>62</v>
      </c>
      <c r="J131" s="11">
        <f>B̳ases!L129</f>
        <v>3</v>
      </c>
      <c r="K131" s="9" t="str">
        <f>B̳ases!G129</f>
        <v>Annual</v>
      </c>
      <c r="L131" s="11">
        <f>IFERROR(VALUE(B̳ases!I129),0)</f>
        <v>30</v>
      </c>
      <c r="M131" s="11">
        <f>B̳ases!K129</f>
        <v>20</v>
      </c>
      <c r="N131" s="6"/>
      <c r="O131" s="6"/>
      <c r="P131" s="6"/>
      <c r="Q131" s="6"/>
    </row>
    <row r="132" spans="1:17" ht="16.5" x14ac:dyDescent="0.3">
      <c r="A132" s="8">
        <f>B̳ases!A130</f>
        <v>3359</v>
      </c>
      <c r="B132" s="9" t="str">
        <f>B̳ases!C130</f>
        <v>Standard</v>
      </c>
      <c r="C132" s="10">
        <f>B̳ases!D130</f>
        <v>45476</v>
      </c>
      <c r="D132" s="9" t="str">
        <f t="shared" ref="D132:D195" si="4">TEXT(C132,"mmm")</f>
        <v>jul</v>
      </c>
      <c r="E132" s="8">
        <f t="shared" ref="E132:E195" si="5">MONTH(C132)</f>
        <v>7</v>
      </c>
      <c r="F132" s="8">
        <f>IF(B̳ases!E130="Yes",1,0)</f>
        <v>0</v>
      </c>
      <c r="G132" s="8">
        <f>IF(B̳ases!H130="Yes",1,0)</f>
        <v>0</v>
      </c>
      <c r="H132" s="8">
        <f>IF(B̳ases!J130="Yes",1,0)</f>
        <v>1</v>
      </c>
      <c r="I132" s="11">
        <f>B̳ases!M130</f>
        <v>20</v>
      </c>
      <c r="J132" s="11">
        <f>B̳ases!L130</f>
        <v>10</v>
      </c>
      <c r="K132" s="9" t="str">
        <f>B̳ases!G130</f>
        <v>Monthly</v>
      </c>
      <c r="L132" s="11">
        <f>IFERROR(VALUE(B̳ases!I130),0)</f>
        <v>0</v>
      </c>
      <c r="M132" s="11">
        <f>B̳ases!K130</f>
        <v>20</v>
      </c>
      <c r="N132" s="6"/>
      <c r="O132" s="6"/>
      <c r="P132" s="6"/>
      <c r="Q132" s="6"/>
    </row>
    <row r="133" spans="1:17" ht="16.5" x14ac:dyDescent="0.3">
      <c r="A133" s="8">
        <f>B̳ases!A131</f>
        <v>3360</v>
      </c>
      <c r="B133" s="9" t="str">
        <f>B̳ases!C131</f>
        <v>Core</v>
      </c>
      <c r="C133" s="10">
        <f>B̳ases!D131</f>
        <v>45477</v>
      </c>
      <c r="D133" s="9" t="str">
        <f t="shared" si="4"/>
        <v>jul</v>
      </c>
      <c r="E133" s="8">
        <f t="shared" si="5"/>
        <v>7</v>
      </c>
      <c r="F133" s="8">
        <f>IF(B̳ases!E131="Yes",1,0)</f>
        <v>1</v>
      </c>
      <c r="G133" s="8">
        <f>IF(B̳ases!H131="Yes",1,0)</f>
        <v>0</v>
      </c>
      <c r="H133" s="8">
        <f>IF(B̳ases!J131="Yes",1,0)</f>
        <v>0</v>
      </c>
      <c r="I133" s="11">
        <f>B̳ases!M131</f>
        <v>5</v>
      </c>
      <c r="J133" s="11">
        <f>B̳ases!L131</f>
        <v>0</v>
      </c>
      <c r="K133" s="9" t="str">
        <f>B̳ases!G131</f>
        <v>Quarterly</v>
      </c>
      <c r="L133" s="11">
        <f>IFERROR(VALUE(B̳ases!I131),0)</f>
        <v>0</v>
      </c>
      <c r="M133" s="11">
        <f>B̳ases!K131</f>
        <v>0</v>
      </c>
      <c r="N133" s="6"/>
      <c r="O133" s="6"/>
      <c r="P133" s="6"/>
      <c r="Q133" s="6"/>
    </row>
    <row r="134" spans="1:17" ht="16.5" x14ac:dyDescent="0.3">
      <c r="A134" s="8">
        <f>B̳ases!A132</f>
        <v>3361</v>
      </c>
      <c r="B134" s="9" t="str">
        <f>B̳ases!C132</f>
        <v>Ultimate</v>
      </c>
      <c r="C134" s="10">
        <f>B̳ases!D132</f>
        <v>45478</v>
      </c>
      <c r="D134" s="9" t="str">
        <f t="shared" si="4"/>
        <v>jul</v>
      </c>
      <c r="E134" s="8">
        <f t="shared" si="5"/>
        <v>7</v>
      </c>
      <c r="F134" s="8">
        <f>IF(B̳ases!E132="Yes",1,0)</f>
        <v>0</v>
      </c>
      <c r="G134" s="8">
        <f>IF(B̳ases!H132="Yes",1,0)</f>
        <v>1</v>
      </c>
      <c r="H134" s="8">
        <f>IF(B̳ases!J132="Yes",1,0)</f>
        <v>1</v>
      </c>
      <c r="I134" s="11">
        <f>B̳ases!M132</f>
        <v>50</v>
      </c>
      <c r="J134" s="11">
        <f>B̳ases!L132</f>
        <v>15</v>
      </c>
      <c r="K134" s="9" t="str">
        <f>B̳ases!G132</f>
        <v>Monthly</v>
      </c>
      <c r="L134" s="11">
        <f>IFERROR(VALUE(B̳ases!I132),0)</f>
        <v>30</v>
      </c>
      <c r="M134" s="11">
        <f>B̳ases!K132</f>
        <v>20</v>
      </c>
      <c r="N134" s="6"/>
      <c r="O134" s="6"/>
      <c r="P134" s="6"/>
      <c r="Q134" s="6"/>
    </row>
    <row r="135" spans="1:17" ht="16.5" x14ac:dyDescent="0.3">
      <c r="A135" s="8">
        <f>B̳ases!A133</f>
        <v>3362</v>
      </c>
      <c r="B135" s="9" t="str">
        <f>B̳ases!C133</f>
        <v>Standard</v>
      </c>
      <c r="C135" s="10">
        <f>B̳ases!D133</f>
        <v>45479</v>
      </c>
      <c r="D135" s="9" t="str">
        <f t="shared" si="4"/>
        <v>jul</v>
      </c>
      <c r="E135" s="8">
        <f t="shared" si="5"/>
        <v>7</v>
      </c>
      <c r="F135" s="8">
        <f>IF(B̳ases!E133="Yes",1,0)</f>
        <v>1</v>
      </c>
      <c r="G135" s="8">
        <f>IF(B̳ases!H133="Yes",1,0)</f>
        <v>0</v>
      </c>
      <c r="H135" s="8">
        <f>IF(B̳ases!J133="Yes",1,0)</f>
        <v>1</v>
      </c>
      <c r="I135" s="11">
        <f>B̳ases!M133</f>
        <v>15</v>
      </c>
      <c r="J135" s="11">
        <f>B̳ases!L133</f>
        <v>15</v>
      </c>
      <c r="K135" s="9" t="str">
        <f>B̳ases!G133</f>
        <v>Annual</v>
      </c>
      <c r="L135" s="11">
        <f>IFERROR(VALUE(B̳ases!I133),0)</f>
        <v>0</v>
      </c>
      <c r="M135" s="11">
        <f>B̳ases!K133</f>
        <v>20</v>
      </c>
      <c r="N135" s="6"/>
      <c r="O135" s="6"/>
      <c r="P135" s="6"/>
      <c r="Q135" s="6"/>
    </row>
    <row r="136" spans="1:17" ht="16.5" x14ac:dyDescent="0.3">
      <c r="A136" s="8">
        <f>B̳ases!A134</f>
        <v>3363</v>
      </c>
      <c r="B136" s="9" t="str">
        <f>B̳ases!C134</f>
        <v>Core</v>
      </c>
      <c r="C136" s="10">
        <f>B̳ases!D134</f>
        <v>45480</v>
      </c>
      <c r="D136" s="9" t="str">
        <f t="shared" si="4"/>
        <v>jul</v>
      </c>
      <c r="E136" s="8">
        <f t="shared" si="5"/>
        <v>7</v>
      </c>
      <c r="F136" s="8">
        <f>IF(B̳ases!E134="Yes",1,0)</f>
        <v>0</v>
      </c>
      <c r="G136" s="8">
        <f>IF(B̳ases!H134="Yes",1,0)</f>
        <v>0</v>
      </c>
      <c r="H136" s="8">
        <f>IF(B̳ases!J134="Yes",1,0)</f>
        <v>0</v>
      </c>
      <c r="I136" s="11">
        <f>B̳ases!M134</f>
        <v>4</v>
      </c>
      <c r="J136" s="11">
        <f>B̳ases!L134</f>
        <v>1</v>
      </c>
      <c r="K136" s="9" t="str">
        <f>B̳ases!G134</f>
        <v>Monthly</v>
      </c>
      <c r="L136" s="11">
        <f>IFERROR(VALUE(B̳ases!I134),0)</f>
        <v>0</v>
      </c>
      <c r="M136" s="11">
        <f>B̳ases!K134</f>
        <v>0</v>
      </c>
      <c r="N136" s="6"/>
      <c r="O136" s="6"/>
      <c r="P136" s="6"/>
      <c r="Q136" s="6"/>
    </row>
    <row r="137" spans="1:17" ht="16.5" x14ac:dyDescent="0.3">
      <c r="A137" s="8">
        <f>B̳ases!A135</f>
        <v>3364</v>
      </c>
      <c r="B137" s="9" t="str">
        <f>B̳ases!C135</f>
        <v>Ultimate</v>
      </c>
      <c r="C137" s="10">
        <f>B̳ases!D135</f>
        <v>45481</v>
      </c>
      <c r="D137" s="9" t="str">
        <f t="shared" si="4"/>
        <v>jul</v>
      </c>
      <c r="E137" s="8">
        <f t="shared" si="5"/>
        <v>7</v>
      </c>
      <c r="F137" s="8">
        <f>IF(B̳ases!E135="Yes",1,0)</f>
        <v>1</v>
      </c>
      <c r="G137" s="8">
        <f>IF(B̳ases!H135="Yes",1,0)</f>
        <v>1</v>
      </c>
      <c r="H137" s="8">
        <f>IF(B̳ases!J135="Yes",1,0)</f>
        <v>1</v>
      </c>
      <c r="I137" s="11">
        <f>B̳ases!M135</f>
        <v>58</v>
      </c>
      <c r="J137" s="11">
        <f>B̳ases!L135</f>
        <v>7</v>
      </c>
      <c r="K137" s="9" t="str">
        <f>B̳ases!G135</f>
        <v>Quarterly</v>
      </c>
      <c r="L137" s="11">
        <f>IFERROR(VALUE(B̳ases!I135),0)</f>
        <v>30</v>
      </c>
      <c r="M137" s="11">
        <f>B̳ases!K135</f>
        <v>20</v>
      </c>
      <c r="N137" s="6"/>
      <c r="O137" s="6"/>
      <c r="P137" s="6"/>
      <c r="Q137" s="6"/>
    </row>
    <row r="138" spans="1:17" ht="16.5" x14ac:dyDescent="0.3">
      <c r="A138" s="8">
        <f>B̳ases!A136</f>
        <v>3365</v>
      </c>
      <c r="B138" s="9" t="str">
        <f>B̳ases!C136</f>
        <v>Standard</v>
      </c>
      <c r="C138" s="10">
        <f>B̳ases!D136</f>
        <v>45482</v>
      </c>
      <c r="D138" s="9" t="str">
        <f t="shared" si="4"/>
        <v>jul</v>
      </c>
      <c r="E138" s="8">
        <f t="shared" si="5"/>
        <v>7</v>
      </c>
      <c r="F138" s="8">
        <f>IF(B̳ases!E136="Yes",1,0)</f>
        <v>0</v>
      </c>
      <c r="G138" s="8">
        <f>IF(B̳ases!H136="Yes",1,0)</f>
        <v>0</v>
      </c>
      <c r="H138" s="8">
        <f>IF(B̳ases!J136="Yes",1,0)</f>
        <v>1</v>
      </c>
      <c r="I138" s="11">
        <f>B̳ases!M136</f>
        <v>20</v>
      </c>
      <c r="J138" s="11">
        <f>B̳ases!L136</f>
        <v>10</v>
      </c>
      <c r="K138" s="9" t="str">
        <f>B̳ases!G136</f>
        <v>Monthly</v>
      </c>
      <c r="L138" s="11">
        <f>IFERROR(VALUE(B̳ases!I136),0)</f>
        <v>0</v>
      </c>
      <c r="M138" s="11">
        <f>B̳ases!K136</f>
        <v>20</v>
      </c>
      <c r="N138" s="6"/>
      <c r="O138" s="6"/>
      <c r="P138" s="6"/>
      <c r="Q138" s="6"/>
    </row>
    <row r="139" spans="1:17" ht="16.5" x14ac:dyDescent="0.3">
      <c r="A139" s="8">
        <f>B̳ases!A137</f>
        <v>3366</v>
      </c>
      <c r="B139" s="9" t="str">
        <f>B̳ases!C137</f>
        <v>Core</v>
      </c>
      <c r="C139" s="10">
        <f>B̳ases!D137</f>
        <v>45483</v>
      </c>
      <c r="D139" s="9" t="str">
        <f t="shared" si="4"/>
        <v>jul</v>
      </c>
      <c r="E139" s="8">
        <f t="shared" si="5"/>
        <v>7</v>
      </c>
      <c r="F139" s="8">
        <f>IF(B̳ases!E137="Yes",1,0)</f>
        <v>1</v>
      </c>
      <c r="G139" s="8">
        <f>IF(B̳ases!H137="Yes",1,0)</f>
        <v>0</v>
      </c>
      <c r="H139" s="8">
        <f>IF(B̳ases!J137="Yes",1,0)</f>
        <v>0</v>
      </c>
      <c r="I139" s="11">
        <f>B̳ases!M137</f>
        <v>5</v>
      </c>
      <c r="J139" s="11">
        <f>B̳ases!L137</f>
        <v>0</v>
      </c>
      <c r="K139" s="9" t="str">
        <f>B̳ases!G137</f>
        <v>Monthly</v>
      </c>
      <c r="L139" s="11">
        <f>IFERROR(VALUE(B̳ases!I137),0)</f>
        <v>0</v>
      </c>
      <c r="M139" s="11">
        <f>B̳ases!K137</f>
        <v>0</v>
      </c>
      <c r="N139" s="6"/>
      <c r="O139" s="6"/>
      <c r="P139" s="6"/>
      <c r="Q139" s="6"/>
    </row>
    <row r="140" spans="1:17" ht="16.5" x14ac:dyDescent="0.3">
      <c r="A140" s="8">
        <f>B̳ases!A138</f>
        <v>3367</v>
      </c>
      <c r="B140" s="9" t="str">
        <f>B̳ases!C138</f>
        <v>Ultimate</v>
      </c>
      <c r="C140" s="10">
        <f>B̳ases!D138</f>
        <v>45484</v>
      </c>
      <c r="D140" s="9" t="str">
        <f t="shared" si="4"/>
        <v>jul</v>
      </c>
      <c r="E140" s="8">
        <f t="shared" si="5"/>
        <v>7</v>
      </c>
      <c r="F140" s="8">
        <f>IF(B̳ases!E138="Yes",1,0)</f>
        <v>0</v>
      </c>
      <c r="G140" s="8">
        <f>IF(B̳ases!H138="Yes",1,0)</f>
        <v>1</v>
      </c>
      <c r="H140" s="8">
        <f>IF(B̳ases!J138="Yes",1,0)</f>
        <v>1</v>
      </c>
      <c r="I140" s="11">
        <f>B̳ases!M138</f>
        <v>58</v>
      </c>
      <c r="J140" s="11">
        <f>B̳ases!L138</f>
        <v>7</v>
      </c>
      <c r="K140" s="9" t="str">
        <f>B̳ases!G138</f>
        <v>Quarterly</v>
      </c>
      <c r="L140" s="11">
        <f>IFERROR(VALUE(B̳ases!I138),0)</f>
        <v>30</v>
      </c>
      <c r="M140" s="11">
        <f>B̳ases!K138</f>
        <v>20</v>
      </c>
      <c r="N140" s="6"/>
      <c r="O140" s="6"/>
      <c r="P140" s="6"/>
      <c r="Q140" s="6"/>
    </row>
    <row r="141" spans="1:17" ht="16.5" x14ac:dyDescent="0.3">
      <c r="A141" s="8">
        <f>B̳ases!A139</f>
        <v>3368</v>
      </c>
      <c r="B141" s="9" t="str">
        <f>B̳ases!C139</f>
        <v>Standard</v>
      </c>
      <c r="C141" s="10">
        <f>B̳ases!D139</f>
        <v>45485</v>
      </c>
      <c r="D141" s="9" t="str">
        <f t="shared" si="4"/>
        <v>jul</v>
      </c>
      <c r="E141" s="8">
        <f t="shared" si="5"/>
        <v>7</v>
      </c>
      <c r="F141" s="8">
        <f>IF(B̳ases!E139="Yes",1,0)</f>
        <v>1</v>
      </c>
      <c r="G141" s="8">
        <f>IF(B̳ases!H139="Yes",1,0)</f>
        <v>0</v>
      </c>
      <c r="H141" s="8">
        <f>IF(B̳ases!J139="Yes",1,0)</f>
        <v>1</v>
      </c>
      <c r="I141" s="11">
        <f>B̳ases!M139</f>
        <v>20</v>
      </c>
      <c r="J141" s="11">
        <f>B̳ases!L139</f>
        <v>10</v>
      </c>
      <c r="K141" s="9" t="str">
        <f>B̳ases!G139</f>
        <v>Annual</v>
      </c>
      <c r="L141" s="11">
        <f>IFERROR(VALUE(B̳ases!I139),0)</f>
        <v>0</v>
      </c>
      <c r="M141" s="11">
        <f>B̳ases!K139</f>
        <v>20</v>
      </c>
      <c r="N141" s="6"/>
      <c r="O141" s="6"/>
      <c r="P141" s="6"/>
      <c r="Q141" s="6"/>
    </row>
    <row r="142" spans="1:17" ht="16.5" x14ac:dyDescent="0.3">
      <c r="A142" s="8">
        <f>B̳ases!A140</f>
        <v>3369</v>
      </c>
      <c r="B142" s="9" t="str">
        <f>B̳ases!C140</f>
        <v>Core</v>
      </c>
      <c r="C142" s="10">
        <f>B̳ases!D140</f>
        <v>45486</v>
      </c>
      <c r="D142" s="9" t="str">
        <f t="shared" si="4"/>
        <v>jul</v>
      </c>
      <c r="E142" s="8">
        <f t="shared" si="5"/>
        <v>7</v>
      </c>
      <c r="F142" s="8">
        <f>IF(B̳ases!E140="Yes",1,0)</f>
        <v>0</v>
      </c>
      <c r="G142" s="8">
        <f>IF(B̳ases!H140="Yes",1,0)</f>
        <v>0</v>
      </c>
      <c r="H142" s="8">
        <f>IF(B̳ases!J140="Yes",1,0)</f>
        <v>0</v>
      </c>
      <c r="I142" s="11">
        <f>B̳ases!M140</f>
        <v>4</v>
      </c>
      <c r="J142" s="11">
        <f>B̳ases!L140</f>
        <v>1</v>
      </c>
      <c r="K142" s="9" t="str">
        <f>B̳ases!G140</f>
        <v>Quarterly</v>
      </c>
      <c r="L142" s="11">
        <f>IFERROR(VALUE(B̳ases!I140),0)</f>
        <v>0</v>
      </c>
      <c r="M142" s="11">
        <f>B̳ases!K140</f>
        <v>0</v>
      </c>
      <c r="N142" s="6"/>
      <c r="O142" s="6"/>
      <c r="P142" s="6"/>
      <c r="Q142" s="6"/>
    </row>
    <row r="143" spans="1:17" ht="16.5" x14ac:dyDescent="0.3">
      <c r="A143" s="8">
        <f>B̳ases!A141</f>
        <v>3370</v>
      </c>
      <c r="B143" s="9" t="str">
        <f>B̳ases!C141</f>
        <v>Ultimate</v>
      </c>
      <c r="C143" s="10">
        <f>B̳ases!D141</f>
        <v>45487</v>
      </c>
      <c r="D143" s="9" t="str">
        <f t="shared" si="4"/>
        <v>jul</v>
      </c>
      <c r="E143" s="8">
        <f t="shared" si="5"/>
        <v>7</v>
      </c>
      <c r="F143" s="8">
        <f>IF(B̳ases!E141="Yes",1,0)</f>
        <v>1</v>
      </c>
      <c r="G143" s="8">
        <f>IF(B̳ases!H141="Yes",1,0)</f>
        <v>1</v>
      </c>
      <c r="H143" s="8">
        <f>IF(B̳ases!J141="Yes",1,0)</f>
        <v>1</v>
      </c>
      <c r="I143" s="11">
        <f>B̳ases!M141</f>
        <v>50</v>
      </c>
      <c r="J143" s="11">
        <f>B̳ases!L141</f>
        <v>15</v>
      </c>
      <c r="K143" s="9" t="str">
        <f>B̳ases!G141</f>
        <v>Monthly</v>
      </c>
      <c r="L143" s="11">
        <f>IFERROR(VALUE(B̳ases!I141),0)</f>
        <v>30</v>
      </c>
      <c r="M143" s="11">
        <f>B̳ases!K141</f>
        <v>20</v>
      </c>
      <c r="N143" s="6"/>
      <c r="O143" s="6"/>
      <c r="P143" s="6"/>
      <c r="Q143" s="6"/>
    </row>
    <row r="144" spans="1:17" ht="16.5" x14ac:dyDescent="0.3">
      <c r="A144" s="8">
        <f>B̳ases!A142</f>
        <v>3371</v>
      </c>
      <c r="B144" s="9" t="str">
        <f>B̳ases!C142</f>
        <v>Standard</v>
      </c>
      <c r="C144" s="10">
        <f>B̳ases!D142</f>
        <v>45488</v>
      </c>
      <c r="D144" s="9" t="str">
        <f t="shared" si="4"/>
        <v>jul</v>
      </c>
      <c r="E144" s="8">
        <f t="shared" si="5"/>
        <v>7</v>
      </c>
      <c r="F144" s="8">
        <f>IF(B̳ases!E142="Yes",1,0)</f>
        <v>0</v>
      </c>
      <c r="G144" s="8">
        <f>IF(B̳ases!H142="Yes",1,0)</f>
        <v>0</v>
      </c>
      <c r="H144" s="8">
        <f>IF(B̳ases!J142="Yes",1,0)</f>
        <v>1</v>
      </c>
      <c r="I144" s="11">
        <f>B̳ases!M142</f>
        <v>25</v>
      </c>
      <c r="J144" s="11">
        <f>B̳ases!L142</f>
        <v>5</v>
      </c>
      <c r="K144" s="9" t="str">
        <f>B̳ases!G142</f>
        <v>Monthly</v>
      </c>
      <c r="L144" s="11">
        <f>IFERROR(VALUE(B̳ases!I142),0)</f>
        <v>0</v>
      </c>
      <c r="M144" s="11">
        <f>B̳ases!K142</f>
        <v>20</v>
      </c>
      <c r="N144" s="6"/>
      <c r="O144" s="6"/>
      <c r="P144" s="6"/>
      <c r="Q144" s="6"/>
    </row>
    <row r="145" spans="1:17" ht="16.5" x14ac:dyDescent="0.3">
      <c r="A145" s="8">
        <f>B̳ases!A143</f>
        <v>3372</v>
      </c>
      <c r="B145" s="9" t="str">
        <f>B̳ases!C143</f>
        <v>Core</v>
      </c>
      <c r="C145" s="10">
        <f>B̳ases!D143</f>
        <v>45489</v>
      </c>
      <c r="D145" s="9" t="str">
        <f t="shared" si="4"/>
        <v>jul</v>
      </c>
      <c r="E145" s="8">
        <f t="shared" si="5"/>
        <v>7</v>
      </c>
      <c r="F145" s="8">
        <f>IF(B̳ases!E143="Yes",1,0)</f>
        <v>1</v>
      </c>
      <c r="G145" s="8">
        <f>IF(B̳ases!H143="Yes",1,0)</f>
        <v>0</v>
      </c>
      <c r="H145" s="8">
        <f>IF(B̳ases!J143="Yes",1,0)</f>
        <v>0</v>
      </c>
      <c r="I145" s="11">
        <f>B̳ases!M143</f>
        <v>5</v>
      </c>
      <c r="J145" s="11">
        <f>B̳ases!L143</f>
        <v>0</v>
      </c>
      <c r="K145" s="9" t="str">
        <f>B̳ases!G143</f>
        <v>Annual</v>
      </c>
      <c r="L145" s="11">
        <f>IFERROR(VALUE(B̳ases!I143),0)</f>
        <v>0</v>
      </c>
      <c r="M145" s="11">
        <f>B̳ases!K143</f>
        <v>0</v>
      </c>
      <c r="N145" s="6"/>
      <c r="O145" s="6"/>
      <c r="P145" s="6"/>
      <c r="Q145" s="6"/>
    </row>
    <row r="146" spans="1:17" ht="16.5" x14ac:dyDescent="0.3">
      <c r="A146" s="8">
        <f>B̳ases!A144</f>
        <v>3373</v>
      </c>
      <c r="B146" s="9" t="str">
        <f>B̳ases!C144</f>
        <v>Ultimate</v>
      </c>
      <c r="C146" s="10">
        <f>B̳ases!D144</f>
        <v>45490</v>
      </c>
      <c r="D146" s="9" t="str">
        <f t="shared" si="4"/>
        <v>jul</v>
      </c>
      <c r="E146" s="8">
        <f t="shared" si="5"/>
        <v>7</v>
      </c>
      <c r="F146" s="8">
        <f>IF(B̳ases!E144="Yes",1,0)</f>
        <v>0</v>
      </c>
      <c r="G146" s="8">
        <f>IF(B̳ases!H144="Yes",1,0)</f>
        <v>1</v>
      </c>
      <c r="H146" s="8">
        <f>IF(B̳ases!J144="Yes",1,0)</f>
        <v>1</v>
      </c>
      <c r="I146" s="11">
        <f>B̳ases!M144</f>
        <v>45</v>
      </c>
      <c r="J146" s="11">
        <f>B̳ases!L144</f>
        <v>20</v>
      </c>
      <c r="K146" s="9" t="str">
        <f>B̳ases!G144</f>
        <v>Quarterly</v>
      </c>
      <c r="L146" s="11">
        <f>IFERROR(VALUE(B̳ases!I144),0)</f>
        <v>30</v>
      </c>
      <c r="M146" s="11">
        <f>B̳ases!K144</f>
        <v>20</v>
      </c>
      <c r="N146" s="6"/>
      <c r="O146" s="6"/>
      <c r="P146" s="6"/>
      <c r="Q146" s="6"/>
    </row>
    <row r="147" spans="1:17" ht="16.5" x14ac:dyDescent="0.3">
      <c r="A147" s="8">
        <f>B̳ases!A145</f>
        <v>3374</v>
      </c>
      <c r="B147" s="9" t="str">
        <f>B̳ases!C145</f>
        <v>Standard</v>
      </c>
      <c r="C147" s="10">
        <f>B̳ases!D145</f>
        <v>45491</v>
      </c>
      <c r="D147" s="9" t="str">
        <f t="shared" si="4"/>
        <v>jul</v>
      </c>
      <c r="E147" s="8">
        <f t="shared" si="5"/>
        <v>7</v>
      </c>
      <c r="F147" s="8">
        <f>IF(B̳ases!E145="Yes",1,0)</f>
        <v>1</v>
      </c>
      <c r="G147" s="8">
        <f>IF(B̳ases!H145="Yes",1,0)</f>
        <v>0</v>
      </c>
      <c r="H147" s="8">
        <f>IF(B̳ases!J145="Yes",1,0)</f>
        <v>1</v>
      </c>
      <c r="I147" s="11">
        <f>B̳ases!M145</f>
        <v>18</v>
      </c>
      <c r="J147" s="11">
        <f>B̳ases!L145</f>
        <v>12</v>
      </c>
      <c r="K147" s="9" t="str">
        <f>B̳ases!G145</f>
        <v>Quarterly</v>
      </c>
      <c r="L147" s="11">
        <f>IFERROR(VALUE(B̳ases!I145),0)</f>
        <v>0</v>
      </c>
      <c r="M147" s="11">
        <f>B̳ases!K145</f>
        <v>20</v>
      </c>
      <c r="N147" s="6"/>
      <c r="O147" s="6"/>
      <c r="P147" s="6"/>
      <c r="Q147" s="6"/>
    </row>
    <row r="148" spans="1:17" ht="16.5" x14ac:dyDescent="0.3">
      <c r="A148" s="8">
        <f>B̳ases!A146</f>
        <v>3375</v>
      </c>
      <c r="B148" s="9" t="str">
        <f>B̳ases!C146</f>
        <v>Core</v>
      </c>
      <c r="C148" s="10">
        <f>B̳ases!D146</f>
        <v>45492</v>
      </c>
      <c r="D148" s="9" t="str">
        <f t="shared" si="4"/>
        <v>jul</v>
      </c>
      <c r="E148" s="8">
        <f t="shared" si="5"/>
        <v>7</v>
      </c>
      <c r="F148" s="8">
        <f>IF(B̳ases!E146="Yes",1,0)</f>
        <v>0</v>
      </c>
      <c r="G148" s="8">
        <f>IF(B̳ases!H146="Yes",1,0)</f>
        <v>0</v>
      </c>
      <c r="H148" s="8">
        <f>IF(B̳ases!J146="Yes",1,0)</f>
        <v>0</v>
      </c>
      <c r="I148" s="11">
        <f>B̳ases!M146</f>
        <v>3</v>
      </c>
      <c r="J148" s="11">
        <f>B̳ases!L146</f>
        <v>2</v>
      </c>
      <c r="K148" s="9" t="str">
        <f>B̳ases!G146</f>
        <v>Monthly</v>
      </c>
      <c r="L148" s="11">
        <f>IFERROR(VALUE(B̳ases!I146),0)</f>
        <v>0</v>
      </c>
      <c r="M148" s="11">
        <f>B̳ases!K146</f>
        <v>0</v>
      </c>
      <c r="N148" s="6"/>
      <c r="O148" s="6"/>
      <c r="P148" s="6"/>
      <c r="Q148" s="6"/>
    </row>
    <row r="149" spans="1:17" ht="16.5" x14ac:dyDescent="0.3">
      <c r="A149" s="8">
        <f>B̳ases!A147</f>
        <v>3376</v>
      </c>
      <c r="B149" s="9" t="str">
        <f>B̳ases!C147</f>
        <v>Ultimate</v>
      </c>
      <c r="C149" s="10">
        <f>B̳ases!D147</f>
        <v>45493</v>
      </c>
      <c r="D149" s="9" t="str">
        <f t="shared" si="4"/>
        <v>jul</v>
      </c>
      <c r="E149" s="8">
        <f t="shared" si="5"/>
        <v>7</v>
      </c>
      <c r="F149" s="8">
        <f>IF(B̳ases!E147="Yes",1,0)</f>
        <v>1</v>
      </c>
      <c r="G149" s="8">
        <f>IF(B̳ases!H147="Yes",1,0)</f>
        <v>1</v>
      </c>
      <c r="H149" s="8">
        <f>IF(B̳ases!J147="Yes",1,0)</f>
        <v>1</v>
      </c>
      <c r="I149" s="11">
        <f>B̳ases!M147</f>
        <v>60</v>
      </c>
      <c r="J149" s="11">
        <f>B̳ases!L147</f>
        <v>5</v>
      </c>
      <c r="K149" s="9" t="str">
        <f>B̳ases!G147</f>
        <v>Annual</v>
      </c>
      <c r="L149" s="11">
        <f>IFERROR(VALUE(B̳ases!I147),0)</f>
        <v>30</v>
      </c>
      <c r="M149" s="11">
        <f>B̳ases!K147</f>
        <v>20</v>
      </c>
      <c r="N149" s="6"/>
      <c r="O149" s="6"/>
      <c r="P149" s="6"/>
      <c r="Q149" s="6"/>
    </row>
    <row r="150" spans="1:17" ht="16.5" x14ac:dyDescent="0.3">
      <c r="A150" s="8">
        <f>B̳ases!A148</f>
        <v>3377</v>
      </c>
      <c r="B150" s="9" t="str">
        <f>B̳ases!C148</f>
        <v>Standard</v>
      </c>
      <c r="C150" s="10">
        <f>B̳ases!D148</f>
        <v>45494</v>
      </c>
      <c r="D150" s="9" t="str">
        <f t="shared" si="4"/>
        <v>jul</v>
      </c>
      <c r="E150" s="8">
        <f t="shared" si="5"/>
        <v>7</v>
      </c>
      <c r="F150" s="8">
        <f>IF(B̳ases!E148="Yes",1,0)</f>
        <v>0</v>
      </c>
      <c r="G150" s="8">
        <f>IF(B̳ases!H148="Yes",1,0)</f>
        <v>0</v>
      </c>
      <c r="H150" s="8">
        <f>IF(B̳ases!J148="Yes",1,0)</f>
        <v>1</v>
      </c>
      <c r="I150" s="11">
        <f>B̳ases!M148</f>
        <v>20</v>
      </c>
      <c r="J150" s="11">
        <f>B̳ases!L148</f>
        <v>10</v>
      </c>
      <c r="K150" s="9" t="str">
        <f>B̳ases!G148</f>
        <v>Monthly</v>
      </c>
      <c r="L150" s="11">
        <f>IFERROR(VALUE(B̳ases!I148),0)</f>
        <v>0</v>
      </c>
      <c r="M150" s="11">
        <f>B̳ases!K148</f>
        <v>20</v>
      </c>
      <c r="N150" s="6"/>
      <c r="O150" s="6"/>
      <c r="P150" s="6"/>
      <c r="Q150" s="6"/>
    </row>
    <row r="151" spans="1:17" ht="16.5" x14ac:dyDescent="0.3">
      <c r="A151" s="8">
        <f>B̳ases!A149</f>
        <v>3378</v>
      </c>
      <c r="B151" s="9" t="str">
        <f>B̳ases!C149</f>
        <v>Core</v>
      </c>
      <c r="C151" s="10">
        <f>B̳ases!D149</f>
        <v>45495</v>
      </c>
      <c r="D151" s="9" t="str">
        <f t="shared" si="4"/>
        <v>jul</v>
      </c>
      <c r="E151" s="8">
        <f t="shared" si="5"/>
        <v>7</v>
      </c>
      <c r="F151" s="8">
        <f>IF(B̳ases!E149="Yes",1,0)</f>
        <v>1</v>
      </c>
      <c r="G151" s="8">
        <f>IF(B̳ases!H149="Yes",1,0)</f>
        <v>0</v>
      </c>
      <c r="H151" s="8">
        <f>IF(B̳ases!J149="Yes",1,0)</f>
        <v>0</v>
      </c>
      <c r="I151" s="11">
        <f>B̳ases!M149</f>
        <v>5</v>
      </c>
      <c r="J151" s="11">
        <f>B̳ases!L149</f>
        <v>0</v>
      </c>
      <c r="K151" s="9" t="str">
        <f>B̳ases!G149</f>
        <v>Quarterly</v>
      </c>
      <c r="L151" s="11">
        <f>IFERROR(VALUE(B̳ases!I149),0)</f>
        <v>0</v>
      </c>
      <c r="M151" s="11">
        <f>B̳ases!K149</f>
        <v>0</v>
      </c>
      <c r="N151" s="6"/>
      <c r="O151" s="6"/>
      <c r="P151" s="6"/>
      <c r="Q151" s="6"/>
    </row>
    <row r="152" spans="1:17" ht="16.5" x14ac:dyDescent="0.3">
      <c r="A152" s="8">
        <f>B̳ases!A150</f>
        <v>3379</v>
      </c>
      <c r="B152" s="9" t="str">
        <f>B̳ases!C150</f>
        <v>Ultimate</v>
      </c>
      <c r="C152" s="10">
        <f>B̳ases!D150</f>
        <v>45496</v>
      </c>
      <c r="D152" s="9" t="str">
        <f t="shared" si="4"/>
        <v>jul</v>
      </c>
      <c r="E152" s="8">
        <f t="shared" si="5"/>
        <v>7</v>
      </c>
      <c r="F152" s="8">
        <f>IF(B̳ases!E150="Yes",1,0)</f>
        <v>0</v>
      </c>
      <c r="G152" s="8">
        <f>IF(B̳ases!H150="Yes",1,0)</f>
        <v>1</v>
      </c>
      <c r="H152" s="8">
        <f>IF(B̳ases!J150="Yes",1,0)</f>
        <v>1</v>
      </c>
      <c r="I152" s="11">
        <f>B̳ases!M150</f>
        <v>62</v>
      </c>
      <c r="J152" s="11">
        <f>B̳ases!L150</f>
        <v>3</v>
      </c>
      <c r="K152" s="9" t="str">
        <f>B̳ases!G150</f>
        <v>Monthly</v>
      </c>
      <c r="L152" s="11">
        <f>IFERROR(VALUE(B̳ases!I150),0)</f>
        <v>30</v>
      </c>
      <c r="M152" s="11">
        <f>B̳ases!K150</f>
        <v>20</v>
      </c>
      <c r="N152" s="6"/>
      <c r="O152" s="6"/>
      <c r="P152" s="6"/>
      <c r="Q152" s="6"/>
    </row>
    <row r="153" spans="1:17" ht="16.5" x14ac:dyDescent="0.3">
      <c r="A153" s="8">
        <f>B̳ases!A151</f>
        <v>3380</v>
      </c>
      <c r="B153" s="9" t="str">
        <f>B̳ases!C151</f>
        <v>Standard</v>
      </c>
      <c r="C153" s="10">
        <f>B̳ases!D151</f>
        <v>45497</v>
      </c>
      <c r="D153" s="9" t="str">
        <f t="shared" si="4"/>
        <v>jul</v>
      </c>
      <c r="E153" s="8">
        <f t="shared" si="5"/>
        <v>7</v>
      </c>
      <c r="F153" s="8">
        <f>IF(B̳ases!E151="Yes",1,0)</f>
        <v>1</v>
      </c>
      <c r="G153" s="8">
        <f>IF(B̳ases!H151="Yes",1,0)</f>
        <v>0</v>
      </c>
      <c r="H153" s="8">
        <f>IF(B̳ases!J151="Yes",1,0)</f>
        <v>1</v>
      </c>
      <c r="I153" s="11">
        <f>B̳ases!M151</f>
        <v>15</v>
      </c>
      <c r="J153" s="11">
        <f>B̳ases!L151</f>
        <v>15</v>
      </c>
      <c r="K153" s="9" t="str">
        <f>B̳ases!G151</f>
        <v>Annual</v>
      </c>
      <c r="L153" s="11">
        <f>IFERROR(VALUE(B̳ases!I151),0)</f>
        <v>0</v>
      </c>
      <c r="M153" s="11">
        <f>B̳ases!K151</f>
        <v>20</v>
      </c>
      <c r="N153" s="6"/>
      <c r="O153" s="6"/>
      <c r="P153" s="6"/>
      <c r="Q153" s="6"/>
    </row>
    <row r="154" spans="1:17" ht="16.5" x14ac:dyDescent="0.3">
      <c r="A154" s="8">
        <f>B̳ases!A152</f>
        <v>3381</v>
      </c>
      <c r="B154" s="9" t="str">
        <f>B̳ases!C152</f>
        <v>Core</v>
      </c>
      <c r="C154" s="10">
        <f>B̳ases!D152</f>
        <v>45498</v>
      </c>
      <c r="D154" s="9" t="str">
        <f t="shared" si="4"/>
        <v>jul</v>
      </c>
      <c r="E154" s="8">
        <f t="shared" si="5"/>
        <v>7</v>
      </c>
      <c r="F154" s="8">
        <f>IF(B̳ases!E152="Yes",1,0)</f>
        <v>0</v>
      </c>
      <c r="G154" s="8">
        <f>IF(B̳ases!H152="Yes",1,0)</f>
        <v>0</v>
      </c>
      <c r="H154" s="8">
        <f>IF(B̳ases!J152="Yes",1,0)</f>
        <v>0</v>
      </c>
      <c r="I154" s="11">
        <f>B̳ases!M152</f>
        <v>4</v>
      </c>
      <c r="J154" s="11">
        <f>B̳ases!L152</f>
        <v>1</v>
      </c>
      <c r="K154" s="9" t="str">
        <f>B̳ases!G152</f>
        <v>Monthly</v>
      </c>
      <c r="L154" s="11">
        <f>IFERROR(VALUE(B̳ases!I152),0)</f>
        <v>0</v>
      </c>
      <c r="M154" s="11">
        <f>B̳ases!K152</f>
        <v>0</v>
      </c>
      <c r="N154" s="6"/>
      <c r="O154" s="6"/>
      <c r="P154" s="6"/>
      <c r="Q154" s="6"/>
    </row>
    <row r="155" spans="1:17" ht="16.5" x14ac:dyDescent="0.3">
      <c r="A155" s="8">
        <f>B̳ases!A153</f>
        <v>3382</v>
      </c>
      <c r="B155" s="9" t="str">
        <f>B̳ases!C153</f>
        <v>Ultimate</v>
      </c>
      <c r="C155" s="10">
        <f>B̳ases!D153</f>
        <v>45499</v>
      </c>
      <c r="D155" s="9" t="str">
        <f t="shared" si="4"/>
        <v>jul</v>
      </c>
      <c r="E155" s="8">
        <f t="shared" si="5"/>
        <v>7</v>
      </c>
      <c r="F155" s="8">
        <f>IF(B̳ases!E153="Yes",1,0)</f>
        <v>1</v>
      </c>
      <c r="G155" s="8">
        <f>IF(B̳ases!H153="Yes",1,0)</f>
        <v>1</v>
      </c>
      <c r="H155" s="8">
        <f>IF(B̳ases!J153="Yes",1,0)</f>
        <v>1</v>
      </c>
      <c r="I155" s="11">
        <f>B̳ases!M153</f>
        <v>58</v>
      </c>
      <c r="J155" s="11">
        <f>B̳ases!L153</f>
        <v>7</v>
      </c>
      <c r="K155" s="9" t="str">
        <f>B̳ases!G153</f>
        <v>Quarterly</v>
      </c>
      <c r="L155" s="11">
        <f>IFERROR(VALUE(B̳ases!I153),0)</f>
        <v>30</v>
      </c>
      <c r="M155" s="11">
        <f>B̳ases!K153</f>
        <v>20</v>
      </c>
      <c r="N155" s="6"/>
      <c r="O155" s="6"/>
      <c r="P155" s="6"/>
      <c r="Q155" s="6"/>
    </row>
    <row r="156" spans="1:17" ht="16.5" x14ac:dyDescent="0.3">
      <c r="A156" s="8">
        <f>B̳ases!A154</f>
        <v>3383</v>
      </c>
      <c r="B156" s="9" t="str">
        <f>B̳ases!C154</f>
        <v>Standard</v>
      </c>
      <c r="C156" s="10">
        <f>B̳ases!D154</f>
        <v>45500</v>
      </c>
      <c r="D156" s="9" t="str">
        <f t="shared" si="4"/>
        <v>jul</v>
      </c>
      <c r="E156" s="8">
        <f t="shared" si="5"/>
        <v>7</v>
      </c>
      <c r="F156" s="8">
        <f>IF(B̳ases!E154="Yes",1,0)</f>
        <v>0</v>
      </c>
      <c r="G156" s="8">
        <f>IF(B̳ases!H154="Yes",1,0)</f>
        <v>0</v>
      </c>
      <c r="H156" s="8">
        <f>IF(B̳ases!J154="Yes",1,0)</f>
        <v>1</v>
      </c>
      <c r="I156" s="11">
        <f>B̳ases!M154</f>
        <v>20</v>
      </c>
      <c r="J156" s="11">
        <f>B̳ases!L154</f>
        <v>10</v>
      </c>
      <c r="K156" s="9" t="str">
        <f>B̳ases!G154</f>
        <v>Monthly</v>
      </c>
      <c r="L156" s="11">
        <f>IFERROR(VALUE(B̳ases!I154),0)</f>
        <v>0</v>
      </c>
      <c r="M156" s="11">
        <f>B̳ases!K154</f>
        <v>20</v>
      </c>
      <c r="N156" s="6"/>
      <c r="O156" s="6"/>
      <c r="P156" s="6"/>
      <c r="Q156" s="6"/>
    </row>
    <row r="157" spans="1:17" ht="16.5" x14ac:dyDescent="0.3">
      <c r="A157" s="8">
        <f>B̳ases!A155</f>
        <v>3384</v>
      </c>
      <c r="B157" s="9" t="str">
        <f>B̳ases!C155</f>
        <v>Core</v>
      </c>
      <c r="C157" s="10">
        <f>B̳ases!D155</f>
        <v>45501</v>
      </c>
      <c r="D157" s="9" t="str">
        <f t="shared" si="4"/>
        <v>jul</v>
      </c>
      <c r="E157" s="8">
        <f t="shared" si="5"/>
        <v>7</v>
      </c>
      <c r="F157" s="8">
        <f>IF(B̳ases!E155="Yes",1,0)</f>
        <v>1</v>
      </c>
      <c r="G157" s="8">
        <f>IF(B̳ases!H155="Yes",1,0)</f>
        <v>0</v>
      </c>
      <c r="H157" s="8">
        <f>IF(B̳ases!J155="Yes",1,0)</f>
        <v>0</v>
      </c>
      <c r="I157" s="11">
        <f>B̳ases!M155</f>
        <v>5</v>
      </c>
      <c r="J157" s="11">
        <f>B̳ases!L155</f>
        <v>0</v>
      </c>
      <c r="K157" s="9" t="str">
        <f>B̳ases!G155</f>
        <v>Annual</v>
      </c>
      <c r="L157" s="11">
        <f>IFERROR(VALUE(B̳ases!I155),0)</f>
        <v>0</v>
      </c>
      <c r="M157" s="11">
        <f>B̳ases!K155</f>
        <v>0</v>
      </c>
      <c r="N157" s="6"/>
      <c r="O157" s="6"/>
      <c r="P157" s="6"/>
      <c r="Q157" s="6"/>
    </row>
    <row r="158" spans="1:17" ht="16.5" x14ac:dyDescent="0.3">
      <c r="A158" s="8">
        <f>B̳ases!A156</f>
        <v>3385</v>
      </c>
      <c r="B158" s="9" t="str">
        <f>B̳ases!C156</f>
        <v>Ultimate</v>
      </c>
      <c r="C158" s="10">
        <f>B̳ases!D156</f>
        <v>45502</v>
      </c>
      <c r="D158" s="9" t="str">
        <f t="shared" si="4"/>
        <v>jul</v>
      </c>
      <c r="E158" s="8">
        <f t="shared" si="5"/>
        <v>7</v>
      </c>
      <c r="F158" s="8">
        <f>IF(B̳ases!E156="Yes",1,0)</f>
        <v>0</v>
      </c>
      <c r="G158" s="8">
        <f>IF(B̳ases!H156="Yes",1,0)</f>
        <v>1</v>
      </c>
      <c r="H158" s="8">
        <f>IF(B̳ases!J156="Yes",1,0)</f>
        <v>1</v>
      </c>
      <c r="I158" s="11">
        <f>B̳ases!M156</f>
        <v>45</v>
      </c>
      <c r="J158" s="11">
        <f>B̳ases!L156</f>
        <v>20</v>
      </c>
      <c r="K158" s="9" t="str">
        <f>B̳ases!G156</f>
        <v>Monthly</v>
      </c>
      <c r="L158" s="11">
        <f>IFERROR(VALUE(B̳ases!I156),0)</f>
        <v>30</v>
      </c>
      <c r="M158" s="11">
        <f>B̳ases!K156</f>
        <v>20</v>
      </c>
      <c r="N158" s="6"/>
      <c r="O158" s="6"/>
      <c r="P158" s="6"/>
      <c r="Q158" s="6"/>
    </row>
    <row r="159" spans="1:17" ht="16.5" x14ac:dyDescent="0.3">
      <c r="A159" s="8">
        <f>B̳ases!A157</f>
        <v>3386</v>
      </c>
      <c r="B159" s="9" t="str">
        <f>B̳ases!C157</f>
        <v>Standard</v>
      </c>
      <c r="C159" s="10">
        <f>B̳ases!D157</f>
        <v>45503</v>
      </c>
      <c r="D159" s="9" t="str">
        <f t="shared" si="4"/>
        <v>jul</v>
      </c>
      <c r="E159" s="8">
        <f t="shared" si="5"/>
        <v>7</v>
      </c>
      <c r="F159" s="8">
        <f>IF(B̳ases!E157="Yes",1,0)</f>
        <v>1</v>
      </c>
      <c r="G159" s="8">
        <f>IF(B̳ases!H157="Yes",1,0)</f>
        <v>0</v>
      </c>
      <c r="H159" s="8">
        <f>IF(B̳ases!J157="Yes",1,0)</f>
        <v>1</v>
      </c>
      <c r="I159" s="11">
        <f>B̳ases!M157</f>
        <v>15</v>
      </c>
      <c r="J159" s="11">
        <f>B̳ases!L157</f>
        <v>15</v>
      </c>
      <c r="K159" s="9" t="str">
        <f>B̳ases!G157</f>
        <v>Quarterly</v>
      </c>
      <c r="L159" s="11">
        <f>IFERROR(VALUE(B̳ases!I157),0)</f>
        <v>0</v>
      </c>
      <c r="M159" s="11">
        <f>B̳ases!K157</f>
        <v>20</v>
      </c>
      <c r="N159" s="6"/>
      <c r="O159" s="6"/>
      <c r="P159" s="6"/>
      <c r="Q159" s="6"/>
    </row>
    <row r="160" spans="1:17" ht="16.5" x14ac:dyDescent="0.3">
      <c r="A160" s="8">
        <f>B̳ases!A158</f>
        <v>3387</v>
      </c>
      <c r="B160" s="9" t="str">
        <f>B̳ases!C158</f>
        <v>Core</v>
      </c>
      <c r="C160" s="10">
        <f>B̳ases!D158</f>
        <v>45504</v>
      </c>
      <c r="D160" s="9" t="str">
        <f t="shared" si="4"/>
        <v>jul</v>
      </c>
      <c r="E160" s="8">
        <f t="shared" si="5"/>
        <v>7</v>
      </c>
      <c r="F160" s="8">
        <f>IF(B̳ases!E158="Yes",1,0)</f>
        <v>0</v>
      </c>
      <c r="G160" s="8">
        <f>IF(B̳ases!H158="Yes",1,0)</f>
        <v>0</v>
      </c>
      <c r="H160" s="8">
        <f>IF(B̳ases!J158="Yes",1,0)</f>
        <v>0</v>
      </c>
      <c r="I160" s="11">
        <f>B̳ases!M158</f>
        <v>4</v>
      </c>
      <c r="J160" s="11">
        <f>B̳ases!L158</f>
        <v>1</v>
      </c>
      <c r="K160" s="9" t="str">
        <f>B̳ases!G158</f>
        <v>Monthly</v>
      </c>
      <c r="L160" s="11">
        <f>IFERROR(VALUE(B̳ases!I158),0)</f>
        <v>0</v>
      </c>
      <c r="M160" s="11">
        <f>B̳ases!K158</f>
        <v>0</v>
      </c>
      <c r="N160" s="6"/>
      <c r="O160" s="6"/>
      <c r="P160" s="6"/>
      <c r="Q160" s="6"/>
    </row>
    <row r="161" spans="1:17" ht="16.5" x14ac:dyDescent="0.3">
      <c r="A161" s="8">
        <f>B̳ases!A159</f>
        <v>3388</v>
      </c>
      <c r="B161" s="9" t="str">
        <f>B̳ases!C159</f>
        <v>Ultimate</v>
      </c>
      <c r="C161" s="10">
        <f>B̳ases!D159</f>
        <v>45505</v>
      </c>
      <c r="D161" s="9" t="str">
        <f t="shared" si="4"/>
        <v>ago</v>
      </c>
      <c r="E161" s="8">
        <f t="shared" si="5"/>
        <v>8</v>
      </c>
      <c r="F161" s="8">
        <f>IF(B̳ases!E159="Yes",1,0)</f>
        <v>1</v>
      </c>
      <c r="G161" s="8">
        <f>IF(B̳ases!H159="Yes",1,0)</f>
        <v>1</v>
      </c>
      <c r="H161" s="8">
        <f>IF(B̳ases!J159="Yes",1,0)</f>
        <v>1</v>
      </c>
      <c r="I161" s="11">
        <f>B̳ases!M159</f>
        <v>62</v>
      </c>
      <c r="J161" s="11">
        <f>B̳ases!L159</f>
        <v>3</v>
      </c>
      <c r="K161" s="9" t="str">
        <f>B̳ases!G159</f>
        <v>Annual</v>
      </c>
      <c r="L161" s="11">
        <f>IFERROR(VALUE(B̳ases!I159),0)</f>
        <v>30</v>
      </c>
      <c r="M161" s="11">
        <f>B̳ases!K159</f>
        <v>20</v>
      </c>
      <c r="N161" s="6"/>
      <c r="O161" s="6"/>
      <c r="P161" s="6"/>
      <c r="Q161" s="6"/>
    </row>
    <row r="162" spans="1:17" ht="16.5" x14ac:dyDescent="0.3">
      <c r="A162" s="8">
        <f>B̳ases!A160</f>
        <v>3389</v>
      </c>
      <c r="B162" s="9" t="str">
        <f>B̳ases!C160</f>
        <v>Standard</v>
      </c>
      <c r="C162" s="10">
        <f>B̳ases!D160</f>
        <v>45506</v>
      </c>
      <c r="D162" s="9" t="str">
        <f t="shared" si="4"/>
        <v>ago</v>
      </c>
      <c r="E162" s="8">
        <f t="shared" si="5"/>
        <v>8</v>
      </c>
      <c r="F162" s="8">
        <f>IF(B̳ases!E160="Yes",1,0)</f>
        <v>0</v>
      </c>
      <c r="G162" s="8">
        <f>IF(B̳ases!H160="Yes",1,0)</f>
        <v>0</v>
      </c>
      <c r="H162" s="8">
        <f>IF(B̳ases!J160="Yes",1,0)</f>
        <v>1</v>
      </c>
      <c r="I162" s="11">
        <f>B̳ases!M160</f>
        <v>20</v>
      </c>
      <c r="J162" s="11">
        <f>B̳ases!L160</f>
        <v>10</v>
      </c>
      <c r="K162" s="9" t="str">
        <f>B̳ases!G160</f>
        <v>Monthly</v>
      </c>
      <c r="L162" s="11">
        <f>IFERROR(VALUE(B̳ases!I160),0)</f>
        <v>0</v>
      </c>
      <c r="M162" s="11">
        <f>B̳ases!K160</f>
        <v>20</v>
      </c>
      <c r="N162" s="6"/>
      <c r="O162" s="6"/>
      <c r="P162" s="6"/>
      <c r="Q162" s="6"/>
    </row>
    <row r="163" spans="1:17" ht="16.5" x14ac:dyDescent="0.3">
      <c r="A163" s="8">
        <f>B̳ases!A161</f>
        <v>3390</v>
      </c>
      <c r="B163" s="9" t="str">
        <f>B̳ases!C161</f>
        <v>Core</v>
      </c>
      <c r="C163" s="10">
        <f>B̳ases!D161</f>
        <v>45507</v>
      </c>
      <c r="D163" s="9" t="str">
        <f t="shared" si="4"/>
        <v>ago</v>
      </c>
      <c r="E163" s="8">
        <f t="shared" si="5"/>
        <v>8</v>
      </c>
      <c r="F163" s="8">
        <f>IF(B̳ases!E161="Yes",1,0)</f>
        <v>1</v>
      </c>
      <c r="G163" s="8">
        <f>IF(B̳ases!H161="Yes",1,0)</f>
        <v>0</v>
      </c>
      <c r="H163" s="8">
        <f>IF(B̳ases!J161="Yes",1,0)</f>
        <v>0</v>
      </c>
      <c r="I163" s="11">
        <f>B̳ases!M161</f>
        <v>5</v>
      </c>
      <c r="J163" s="11">
        <f>B̳ases!L161</f>
        <v>0</v>
      </c>
      <c r="K163" s="9" t="str">
        <f>B̳ases!G161</f>
        <v>Quarterly</v>
      </c>
      <c r="L163" s="11">
        <f>IFERROR(VALUE(B̳ases!I161),0)</f>
        <v>0</v>
      </c>
      <c r="M163" s="11">
        <f>B̳ases!K161</f>
        <v>0</v>
      </c>
      <c r="N163" s="6"/>
      <c r="O163" s="6"/>
      <c r="P163" s="6"/>
      <c r="Q163" s="6"/>
    </row>
    <row r="164" spans="1:17" ht="16.5" x14ac:dyDescent="0.3">
      <c r="A164" s="8">
        <f>B̳ases!A162</f>
        <v>3391</v>
      </c>
      <c r="B164" s="9" t="str">
        <f>B̳ases!C162</f>
        <v>Ultimate</v>
      </c>
      <c r="C164" s="10">
        <f>B̳ases!D162</f>
        <v>45508</v>
      </c>
      <c r="D164" s="9" t="str">
        <f t="shared" si="4"/>
        <v>ago</v>
      </c>
      <c r="E164" s="8">
        <f t="shared" si="5"/>
        <v>8</v>
      </c>
      <c r="F164" s="8">
        <f>IF(B̳ases!E162="Yes",1,0)</f>
        <v>0</v>
      </c>
      <c r="G164" s="8">
        <f>IF(B̳ases!H162="Yes",1,0)</f>
        <v>1</v>
      </c>
      <c r="H164" s="8">
        <f>IF(B̳ases!J162="Yes",1,0)</f>
        <v>1</v>
      </c>
      <c r="I164" s="11">
        <f>B̳ases!M162</f>
        <v>50</v>
      </c>
      <c r="J164" s="11">
        <f>B̳ases!L162</f>
        <v>15</v>
      </c>
      <c r="K164" s="9" t="str">
        <f>B̳ases!G162</f>
        <v>Monthly</v>
      </c>
      <c r="L164" s="11">
        <f>IFERROR(VALUE(B̳ases!I162),0)</f>
        <v>30</v>
      </c>
      <c r="M164" s="11">
        <f>B̳ases!K162</f>
        <v>20</v>
      </c>
      <c r="N164" s="6"/>
      <c r="O164" s="6"/>
      <c r="P164" s="6"/>
      <c r="Q164" s="6"/>
    </row>
    <row r="165" spans="1:17" ht="16.5" x14ac:dyDescent="0.3">
      <c r="A165" s="8">
        <f>B̳ases!A163</f>
        <v>3392</v>
      </c>
      <c r="B165" s="9" t="str">
        <f>B̳ases!C163</f>
        <v>Standard</v>
      </c>
      <c r="C165" s="10">
        <f>B̳ases!D163</f>
        <v>45509</v>
      </c>
      <c r="D165" s="9" t="str">
        <f t="shared" si="4"/>
        <v>ago</v>
      </c>
      <c r="E165" s="8">
        <f t="shared" si="5"/>
        <v>8</v>
      </c>
      <c r="F165" s="8">
        <f>IF(B̳ases!E163="Yes",1,0)</f>
        <v>1</v>
      </c>
      <c r="G165" s="8">
        <f>IF(B̳ases!H163="Yes",1,0)</f>
        <v>0</v>
      </c>
      <c r="H165" s="8">
        <f>IF(B̳ases!J163="Yes",1,0)</f>
        <v>1</v>
      </c>
      <c r="I165" s="11">
        <f>B̳ases!M163</f>
        <v>15</v>
      </c>
      <c r="J165" s="11">
        <f>B̳ases!L163</f>
        <v>15</v>
      </c>
      <c r="K165" s="9" t="str">
        <f>B̳ases!G163</f>
        <v>Annual</v>
      </c>
      <c r="L165" s="11">
        <f>IFERROR(VALUE(B̳ases!I163),0)</f>
        <v>0</v>
      </c>
      <c r="M165" s="11">
        <f>B̳ases!K163</f>
        <v>20</v>
      </c>
      <c r="N165" s="6"/>
      <c r="O165" s="6"/>
      <c r="P165" s="6"/>
      <c r="Q165" s="6"/>
    </row>
    <row r="166" spans="1:17" ht="16.5" x14ac:dyDescent="0.3">
      <c r="A166" s="8">
        <f>B̳ases!A164</f>
        <v>3393</v>
      </c>
      <c r="B166" s="9" t="str">
        <f>B̳ases!C164</f>
        <v>Core</v>
      </c>
      <c r="C166" s="10">
        <f>B̳ases!D164</f>
        <v>45510</v>
      </c>
      <c r="D166" s="9" t="str">
        <f t="shared" si="4"/>
        <v>ago</v>
      </c>
      <c r="E166" s="8">
        <f t="shared" si="5"/>
        <v>8</v>
      </c>
      <c r="F166" s="8">
        <f>IF(B̳ases!E164="Yes",1,0)</f>
        <v>0</v>
      </c>
      <c r="G166" s="8">
        <f>IF(B̳ases!H164="Yes",1,0)</f>
        <v>0</v>
      </c>
      <c r="H166" s="8">
        <f>IF(B̳ases!J164="Yes",1,0)</f>
        <v>0</v>
      </c>
      <c r="I166" s="11">
        <f>B̳ases!M164</f>
        <v>4</v>
      </c>
      <c r="J166" s="11">
        <f>B̳ases!L164</f>
        <v>1</v>
      </c>
      <c r="K166" s="9" t="str">
        <f>B̳ases!G164</f>
        <v>Monthly</v>
      </c>
      <c r="L166" s="11">
        <f>IFERROR(VALUE(B̳ases!I164),0)</f>
        <v>0</v>
      </c>
      <c r="M166" s="11">
        <f>B̳ases!K164</f>
        <v>0</v>
      </c>
      <c r="N166" s="6"/>
      <c r="O166" s="6"/>
      <c r="P166" s="6"/>
      <c r="Q166" s="6"/>
    </row>
    <row r="167" spans="1:17" ht="16.5" x14ac:dyDescent="0.3">
      <c r="A167" s="8">
        <f>B̳ases!A165</f>
        <v>3394</v>
      </c>
      <c r="B167" s="9" t="str">
        <f>B̳ases!C165</f>
        <v>Ultimate</v>
      </c>
      <c r="C167" s="10">
        <f>B̳ases!D165</f>
        <v>45511</v>
      </c>
      <c r="D167" s="9" t="str">
        <f t="shared" si="4"/>
        <v>ago</v>
      </c>
      <c r="E167" s="8">
        <f t="shared" si="5"/>
        <v>8</v>
      </c>
      <c r="F167" s="8">
        <f>IF(B̳ases!E165="Yes",1,0)</f>
        <v>1</v>
      </c>
      <c r="G167" s="8">
        <f>IF(B̳ases!H165="Yes",1,0)</f>
        <v>1</v>
      </c>
      <c r="H167" s="8">
        <f>IF(B̳ases!J165="Yes",1,0)</f>
        <v>1</v>
      </c>
      <c r="I167" s="11">
        <f>B̳ases!M165</f>
        <v>58</v>
      </c>
      <c r="J167" s="11">
        <f>B̳ases!L165</f>
        <v>7</v>
      </c>
      <c r="K167" s="9" t="str">
        <f>B̳ases!G165</f>
        <v>Quarterly</v>
      </c>
      <c r="L167" s="11">
        <f>IFERROR(VALUE(B̳ases!I165),0)</f>
        <v>30</v>
      </c>
      <c r="M167" s="11">
        <f>B̳ases!K165</f>
        <v>20</v>
      </c>
      <c r="N167" s="6"/>
      <c r="O167" s="6"/>
      <c r="P167" s="6"/>
      <c r="Q167" s="6"/>
    </row>
    <row r="168" spans="1:17" ht="16.5" x14ac:dyDescent="0.3">
      <c r="A168" s="8">
        <f>B̳ases!A166</f>
        <v>3395</v>
      </c>
      <c r="B168" s="9" t="str">
        <f>B̳ases!C166</f>
        <v>Standard</v>
      </c>
      <c r="C168" s="10">
        <f>B̳ases!D166</f>
        <v>45512</v>
      </c>
      <c r="D168" s="9" t="str">
        <f t="shared" si="4"/>
        <v>ago</v>
      </c>
      <c r="E168" s="8">
        <f t="shared" si="5"/>
        <v>8</v>
      </c>
      <c r="F168" s="8">
        <f>IF(B̳ases!E166="Yes",1,0)</f>
        <v>0</v>
      </c>
      <c r="G168" s="8">
        <f>IF(B̳ases!H166="Yes",1,0)</f>
        <v>0</v>
      </c>
      <c r="H168" s="8">
        <f>IF(B̳ases!J166="Yes",1,0)</f>
        <v>1</v>
      </c>
      <c r="I168" s="11">
        <f>B̳ases!M166</f>
        <v>20</v>
      </c>
      <c r="J168" s="11">
        <f>B̳ases!L166</f>
        <v>10</v>
      </c>
      <c r="K168" s="9" t="str">
        <f>B̳ases!G166</f>
        <v>Monthly</v>
      </c>
      <c r="L168" s="11">
        <f>IFERROR(VALUE(B̳ases!I166),0)</f>
        <v>0</v>
      </c>
      <c r="M168" s="11">
        <f>B̳ases!K166</f>
        <v>20</v>
      </c>
      <c r="N168" s="6"/>
      <c r="O168" s="6"/>
      <c r="P168" s="6"/>
      <c r="Q168" s="6"/>
    </row>
    <row r="169" spans="1:17" ht="16.5" x14ac:dyDescent="0.3">
      <c r="A169" s="8">
        <f>B̳ases!A167</f>
        <v>3396</v>
      </c>
      <c r="B169" s="9" t="str">
        <f>B̳ases!C167</f>
        <v>Core</v>
      </c>
      <c r="C169" s="10">
        <f>B̳ases!D167</f>
        <v>45513</v>
      </c>
      <c r="D169" s="9" t="str">
        <f t="shared" si="4"/>
        <v>ago</v>
      </c>
      <c r="E169" s="8">
        <f t="shared" si="5"/>
        <v>8</v>
      </c>
      <c r="F169" s="8">
        <f>IF(B̳ases!E167="Yes",1,0)</f>
        <v>1</v>
      </c>
      <c r="G169" s="8">
        <f>IF(B̳ases!H167="Yes",1,0)</f>
        <v>0</v>
      </c>
      <c r="H169" s="8">
        <f>IF(B̳ases!J167="Yes",1,0)</f>
        <v>0</v>
      </c>
      <c r="I169" s="11">
        <f>B̳ases!M167</f>
        <v>5</v>
      </c>
      <c r="J169" s="11">
        <f>B̳ases!L167</f>
        <v>0</v>
      </c>
      <c r="K169" s="9" t="str">
        <f>B̳ases!G167</f>
        <v>Annual</v>
      </c>
      <c r="L169" s="11">
        <f>IFERROR(VALUE(B̳ases!I167),0)</f>
        <v>0</v>
      </c>
      <c r="M169" s="11">
        <f>B̳ases!K167</f>
        <v>0</v>
      </c>
      <c r="N169" s="6"/>
      <c r="O169" s="6"/>
      <c r="P169" s="6"/>
      <c r="Q169" s="6"/>
    </row>
    <row r="170" spans="1:17" ht="16.5" x14ac:dyDescent="0.3">
      <c r="A170" s="8">
        <f>B̳ases!A168</f>
        <v>3397</v>
      </c>
      <c r="B170" s="9" t="str">
        <f>B̳ases!C168</f>
        <v>Ultimate</v>
      </c>
      <c r="C170" s="10">
        <f>B̳ases!D168</f>
        <v>45514</v>
      </c>
      <c r="D170" s="9" t="str">
        <f t="shared" si="4"/>
        <v>ago</v>
      </c>
      <c r="E170" s="8">
        <f t="shared" si="5"/>
        <v>8</v>
      </c>
      <c r="F170" s="8">
        <f>IF(B̳ases!E168="Yes",1,0)</f>
        <v>0</v>
      </c>
      <c r="G170" s="8">
        <f>IF(B̳ases!H168="Yes",1,0)</f>
        <v>1</v>
      </c>
      <c r="H170" s="8">
        <f>IF(B̳ases!J168="Yes",1,0)</f>
        <v>1</v>
      </c>
      <c r="I170" s="11">
        <f>B̳ases!M168</f>
        <v>45</v>
      </c>
      <c r="J170" s="11">
        <f>B̳ases!L168</f>
        <v>20</v>
      </c>
      <c r="K170" s="9" t="str">
        <f>B̳ases!G168</f>
        <v>Monthly</v>
      </c>
      <c r="L170" s="11">
        <f>IFERROR(VALUE(B̳ases!I168),0)</f>
        <v>30</v>
      </c>
      <c r="M170" s="11">
        <f>B̳ases!K168</f>
        <v>20</v>
      </c>
      <c r="N170" s="6"/>
      <c r="O170" s="6"/>
      <c r="P170" s="6"/>
      <c r="Q170" s="6"/>
    </row>
    <row r="171" spans="1:17" ht="16.5" x14ac:dyDescent="0.3">
      <c r="A171" s="8">
        <f>B̳ases!A169</f>
        <v>3398</v>
      </c>
      <c r="B171" s="9" t="str">
        <f>B̳ases!C169</f>
        <v>Standard</v>
      </c>
      <c r="C171" s="10">
        <f>B̳ases!D169</f>
        <v>45515</v>
      </c>
      <c r="D171" s="9" t="str">
        <f t="shared" si="4"/>
        <v>ago</v>
      </c>
      <c r="E171" s="8">
        <f t="shared" si="5"/>
        <v>8</v>
      </c>
      <c r="F171" s="8">
        <f>IF(B̳ases!E169="Yes",1,0)</f>
        <v>1</v>
      </c>
      <c r="G171" s="8">
        <f>IF(B̳ases!H169="Yes",1,0)</f>
        <v>0</v>
      </c>
      <c r="H171" s="8">
        <f>IF(B̳ases!J169="Yes",1,0)</f>
        <v>1</v>
      </c>
      <c r="I171" s="11">
        <f>B̳ases!M169</f>
        <v>15</v>
      </c>
      <c r="J171" s="11">
        <f>B̳ases!L169</f>
        <v>15</v>
      </c>
      <c r="K171" s="9" t="str">
        <f>B̳ases!G169</f>
        <v>Quarterly</v>
      </c>
      <c r="L171" s="11">
        <f>IFERROR(VALUE(B̳ases!I169),0)</f>
        <v>0</v>
      </c>
      <c r="M171" s="11">
        <f>B̳ases!K169</f>
        <v>20</v>
      </c>
      <c r="N171" s="6"/>
      <c r="O171" s="6"/>
      <c r="P171" s="6"/>
      <c r="Q171" s="6"/>
    </row>
    <row r="172" spans="1:17" ht="16.5" x14ac:dyDescent="0.3">
      <c r="A172" s="8">
        <f>B̳ases!A170</f>
        <v>3399</v>
      </c>
      <c r="B172" s="9" t="str">
        <f>B̳ases!C170</f>
        <v>Core</v>
      </c>
      <c r="C172" s="10">
        <f>B̳ases!D170</f>
        <v>45516</v>
      </c>
      <c r="D172" s="9" t="str">
        <f t="shared" si="4"/>
        <v>ago</v>
      </c>
      <c r="E172" s="8">
        <f t="shared" si="5"/>
        <v>8</v>
      </c>
      <c r="F172" s="8">
        <f>IF(B̳ases!E170="Yes",1,0)</f>
        <v>0</v>
      </c>
      <c r="G172" s="8">
        <f>IF(B̳ases!H170="Yes",1,0)</f>
        <v>0</v>
      </c>
      <c r="H172" s="8">
        <f>IF(B̳ases!J170="Yes",1,0)</f>
        <v>0</v>
      </c>
      <c r="I172" s="11">
        <f>B̳ases!M170</f>
        <v>4</v>
      </c>
      <c r="J172" s="11">
        <f>B̳ases!L170</f>
        <v>1</v>
      </c>
      <c r="K172" s="9" t="str">
        <f>B̳ases!G170</f>
        <v>Monthly</v>
      </c>
      <c r="L172" s="11">
        <f>IFERROR(VALUE(B̳ases!I170),0)</f>
        <v>0</v>
      </c>
      <c r="M172" s="11">
        <f>B̳ases!K170</f>
        <v>0</v>
      </c>
      <c r="N172" s="6"/>
      <c r="O172" s="6"/>
      <c r="P172" s="6"/>
      <c r="Q172" s="6"/>
    </row>
    <row r="173" spans="1:17" ht="16.5" x14ac:dyDescent="0.3">
      <c r="A173" s="8">
        <f>B̳ases!A171</f>
        <v>3400</v>
      </c>
      <c r="B173" s="9" t="str">
        <f>B̳ases!C171</f>
        <v>Ultimate</v>
      </c>
      <c r="C173" s="10">
        <f>B̳ases!D171</f>
        <v>45517</v>
      </c>
      <c r="D173" s="9" t="str">
        <f t="shared" si="4"/>
        <v>ago</v>
      </c>
      <c r="E173" s="8">
        <f t="shared" si="5"/>
        <v>8</v>
      </c>
      <c r="F173" s="8">
        <f>IF(B̳ases!E171="Yes",1,0)</f>
        <v>1</v>
      </c>
      <c r="G173" s="8">
        <f>IF(B̳ases!H171="Yes",1,0)</f>
        <v>1</v>
      </c>
      <c r="H173" s="8">
        <f>IF(B̳ases!J171="Yes",1,0)</f>
        <v>1</v>
      </c>
      <c r="I173" s="11">
        <f>B̳ases!M171</f>
        <v>60</v>
      </c>
      <c r="J173" s="11">
        <f>B̳ases!L171</f>
        <v>5</v>
      </c>
      <c r="K173" s="9" t="str">
        <f>B̳ases!G171</f>
        <v>Annual</v>
      </c>
      <c r="L173" s="11">
        <f>IFERROR(VALUE(B̳ases!I171),0)</f>
        <v>30</v>
      </c>
      <c r="M173" s="11">
        <f>B̳ases!K171</f>
        <v>20</v>
      </c>
      <c r="N173" s="6"/>
      <c r="O173" s="6"/>
      <c r="P173" s="6"/>
      <c r="Q173" s="6"/>
    </row>
    <row r="174" spans="1:17" ht="16.5" x14ac:dyDescent="0.3">
      <c r="A174" s="8">
        <f>B̳ases!A172</f>
        <v>3401</v>
      </c>
      <c r="B174" s="9" t="str">
        <f>B̳ases!C172</f>
        <v>Standard</v>
      </c>
      <c r="C174" s="10">
        <f>B̳ases!D172</f>
        <v>45518</v>
      </c>
      <c r="D174" s="9" t="str">
        <f t="shared" si="4"/>
        <v>ago</v>
      </c>
      <c r="E174" s="8">
        <f t="shared" si="5"/>
        <v>8</v>
      </c>
      <c r="F174" s="8">
        <f>IF(B̳ases!E172="Yes",1,0)</f>
        <v>0</v>
      </c>
      <c r="G174" s="8">
        <f>IF(B̳ases!H172="Yes",1,0)</f>
        <v>0</v>
      </c>
      <c r="H174" s="8">
        <f>IF(B̳ases!J172="Yes",1,0)</f>
        <v>1</v>
      </c>
      <c r="I174" s="11">
        <f>B̳ases!M172</f>
        <v>20</v>
      </c>
      <c r="J174" s="11">
        <f>B̳ases!L172</f>
        <v>10</v>
      </c>
      <c r="K174" s="9" t="str">
        <f>B̳ases!G172</f>
        <v>Monthly</v>
      </c>
      <c r="L174" s="11">
        <f>IFERROR(VALUE(B̳ases!I172),0)</f>
        <v>0</v>
      </c>
      <c r="M174" s="11">
        <f>B̳ases!K172</f>
        <v>20</v>
      </c>
      <c r="N174" s="6"/>
      <c r="O174" s="6"/>
      <c r="P174" s="6"/>
      <c r="Q174" s="6"/>
    </row>
    <row r="175" spans="1:17" ht="16.5" x14ac:dyDescent="0.3">
      <c r="A175" s="8">
        <f>B̳ases!A173</f>
        <v>3402</v>
      </c>
      <c r="B175" s="9" t="str">
        <f>B̳ases!C173</f>
        <v>Core</v>
      </c>
      <c r="C175" s="10">
        <f>B̳ases!D173</f>
        <v>45519</v>
      </c>
      <c r="D175" s="9" t="str">
        <f t="shared" si="4"/>
        <v>ago</v>
      </c>
      <c r="E175" s="8">
        <f t="shared" si="5"/>
        <v>8</v>
      </c>
      <c r="F175" s="8">
        <f>IF(B̳ases!E173="Yes",1,0)</f>
        <v>1</v>
      </c>
      <c r="G175" s="8">
        <f>IF(B̳ases!H173="Yes",1,0)</f>
        <v>0</v>
      </c>
      <c r="H175" s="8">
        <f>IF(B̳ases!J173="Yes",1,0)</f>
        <v>0</v>
      </c>
      <c r="I175" s="11">
        <f>B̳ases!M173</f>
        <v>5</v>
      </c>
      <c r="J175" s="11">
        <f>B̳ases!L173</f>
        <v>0</v>
      </c>
      <c r="K175" s="9" t="str">
        <f>B̳ases!G173</f>
        <v>Quarterly</v>
      </c>
      <c r="L175" s="11">
        <f>IFERROR(VALUE(B̳ases!I173),0)</f>
        <v>0</v>
      </c>
      <c r="M175" s="11">
        <f>B̳ases!K173</f>
        <v>0</v>
      </c>
      <c r="N175" s="6"/>
      <c r="O175" s="6"/>
      <c r="P175" s="6"/>
      <c r="Q175" s="6"/>
    </row>
    <row r="176" spans="1:17" ht="16.5" x14ac:dyDescent="0.3">
      <c r="A176" s="8">
        <f>B̳ases!A174</f>
        <v>3403</v>
      </c>
      <c r="B176" s="9" t="str">
        <f>B̳ases!C174</f>
        <v>Ultimate</v>
      </c>
      <c r="C176" s="10">
        <f>B̳ases!D174</f>
        <v>45520</v>
      </c>
      <c r="D176" s="9" t="str">
        <f t="shared" si="4"/>
        <v>ago</v>
      </c>
      <c r="E176" s="8">
        <f t="shared" si="5"/>
        <v>8</v>
      </c>
      <c r="F176" s="8">
        <f>IF(B̳ases!E174="Yes",1,0)</f>
        <v>0</v>
      </c>
      <c r="G176" s="8">
        <f>IF(B̳ases!H174="Yes",1,0)</f>
        <v>1</v>
      </c>
      <c r="H176" s="8">
        <f>IF(B̳ases!J174="Yes",1,0)</f>
        <v>1</v>
      </c>
      <c r="I176" s="11">
        <f>B̳ases!M174</f>
        <v>62</v>
      </c>
      <c r="J176" s="11">
        <f>B̳ases!L174</f>
        <v>3</v>
      </c>
      <c r="K176" s="9" t="str">
        <f>B̳ases!G174</f>
        <v>Monthly</v>
      </c>
      <c r="L176" s="11">
        <f>IFERROR(VALUE(B̳ases!I174),0)</f>
        <v>30</v>
      </c>
      <c r="M176" s="11">
        <f>B̳ases!K174</f>
        <v>20</v>
      </c>
      <c r="N176" s="6"/>
      <c r="O176" s="6"/>
      <c r="P176" s="6"/>
      <c r="Q176" s="6"/>
    </row>
    <row r="177" spans="1:17" ht="16.5" x14ac:dyDescent="0.3">
      <c r="A177" s="8">
        <f>B̳ases!A175</f>
        <v>3404</v>
      </c>
      <c r="B177" s="9" t="str">
        <f>B̳ases!C175</f>
        <v>Standard</v>
      </c>
      <c r="C177" s="10">
        <f>B̳ases!D175</f>
        <v>45521</v>
      </c>
      <c r="D177" s="9" t="str">
        <f t="shared" si="4"/>
        <v>ago</v>
      </c>
      <c r="E177" s="8">
        <f t="shared" si="5"/>
        <v>8</v>
      </c>
      <c r="F177" s="8">
        <f>IF(B̳ases!E175="Yes",1,0)</f>
        <v>1</v>
      </c>
      <c r="G177" s="8">
        <f>IF(B̳ases!H175="Yes",1,0)</f>
        <v>0</v>
      </c>
      <c r="H177" s="8">
        <f>IF(B̳ases!J175="Yes",1,0)</f>
        <v>1</v>
      </c>
      <c r="I177" s="11">
        <f>B̳ases!M175</f>
        <v>15</v>
      </c>
      <c r="J177" s="11">
        <f>B̳ases!L175</f>
        <v>15</v>
      </c>
      <c r="K177" s="9" t="str">
        <f>B̳ases!G175</f>
        <v>Annual</v>
      </c>
      <c r="L177" s="11">
        <f>IFERROR(VALUE(B̳ases!I175),0)</f>
        <v>0</v>
      </c>
      <c r="M177" s="11">
        <f>B̳ases!K175</f>
        <v>20</v>
      </c>
      <c r="N177" s="6"/>
      <c r="O177" s="6"/>
      <c r="P177" s="6"/>
      <c r="Q177" s="6"/>
    </row>
    <row r="178" spans="1:17" ht="16.5" x14ac:dyDescent="0.3">
      <c r="A178" s="8">
        <f>B̳ases!A176</f>
        <v>3405</v>
      </c>
      <c r="B178" s="9" t="str">
        <f>B̳ases!C176</f>
        <v>Core</v>
      </c>
      <c r="C178" s="10">
        <f>B̳ases!D176</f>
        <v>45522</v>
      </c>
      <c r="D178" s="9" t="str">
        <f t="shared" si="4"/>
        <v>ago</v>
      </c>
      <c r="E178" s="8">
        <f t="shared" si="5"/>
        <v>8</v>
      </c>
      <c r="F178" s="8">
        <f>IF(B̳ases!E176="Yes",1,0)</f>
        <v>0</v>
      </c>
      <c r="G178" s="8">
        <f>IF(B̳ases!H176="Yes",1,0)</f>
        <v>0</v>
      </c>
      <c r="H178" s="8">
        <f>IF(B̳ases!J176="Yes",1,0)</f>
        <v>0</v>
      </c>
      <c r="I178" s="11">
        <f>B̳ases!M176</f>
        <v>4</v>
      </c>
      <c r="J178" s="11">
        <f>B̳ases!L176</f>
        <v>1</v>
      </c>
      <c r="K178" s="9" t="str">
        <f>B̳ases!G176</f>
        <v>Monthly</v>
      </c>
      <c r="L178" s="11">
        <f>IFERROR(VALUE(B̳ases!I176),0)</f>
        <v>0</v>
      </c>
      <c r="M178" s="11">
        <f>B̳ases!K176</f>
        <v>0</v>
      </c>
      <c r="N178" s="6"/>
      <c r="O178" s="6"/>
      <c r="P178" s="6"/>
      <c r="Q178" s="6"/>
    </row>
    <row r="179" spans="1:17" ht="16.5" x14ac:dyDescent="0.3">
      <c r="A179" s="8">
        <f>B̳ases!A177</f>
        <v>3406</v>
      </c>
      <c r="B179" s="9" t="str">
        <f>B̳ases!C177</f>
        <v>Core</v>
      </c>
      <c r="C179" s="10">
        <f>B̳ases!D177</f>
        <v>45523</v>
      </c>
      <c r="D179" s="9" t="str">
        <f t="shared" si="4"/>
        <v>ago</v>
      </c>
      <c r="E179" s="8">
        <f t="shared" si="5"/>
        <v>8</v>
      </c>
      <c r="F179" s="8">
        <f>IF(B̳ases!E177="Yes",1,0)</f>
        <v>1</v>
      </c>
      <c r="G179" s="8">
        <f>IF(B̳ases!H177="Yes",1,0)</f>
        <v>0</v>
      </c>
      <c r="H179" s="8">
        <f>IF(B̳ases!J177="Yes",1,0)</f>
        <v>0</v>
      </c>
      <c r="I179" s="11">
        <f>B̳ases!M177</f>
        <v>5</v>
      </c>
      <c r="J179" s="11">
        <f>B̳ases!L177</f>
        <v>0</v>
      </c>
      <c r="K179" s="9" t="str">
        <f>B̳ases!G177</f>
        <v>Monthly</v>
      </c>
      <c r="L179" s="11">
        <f>IFERROR(VALUE(B̳ases!I177),0)</f>
        <v>0</v>
      </c>
      <c r="M179" s="11">
        <f>B̳ases!K177</f>
        <v>0</v>
      </c>
      <c r="N179" s="6"/>
      <c r="O179" s="6"/>
      <c r="P179" s="6"/>
      <c r="Q179" s="6"/>
    </row>
    <row r="180" spans="1:17" ht="16.5" x14ac:dyDescent="0.3">
      <c r="A180" s="8">
        <f>B̳ases!A178</f>
        <v>3407</v>
      </c>
      <c r="B180" s="9" t="str">
        <f>B̳ases!C178</f>
        <v>Ultimate</v>
      </c>
      <c r="C180" s="10">
        <f>B̳ases!D178</f>
        <v>45524</v>
      </c>
      <c r="D180" s="9" t="str">
        <f t="shared" si="4"/>
        <v>ago</v>
      </c>
      <c r="E180" s="8">
        <f t="shared" si="5"/>
        <v>8</v>
      </c>
      <c r="F180" s="8">
        <f>IF(B̳ases!E178="Yes",1,0)</f>
        <v>0</v>
      </c>
      <c r="G180" s="8">
        <f>IF(B̳ases!H178="Yes",1,0)</f>
        <v>1</v>
      </c>
      <c r="H180" s="8">
        <f>IF(B̳ases!J178="Yes",1,0)</f>
        <v>1</v>
      </c>
      <c r="I180" s="11">
        <f>B̳ases!M178</f>
        <v>58</v>
      </c>
      <c r="J180" s="11">
        <f>B̳ases!L178</f>
        <v>7</v>
      </c>
      <c r="K180" s="9" t="str">
        <f>B̳ases!G178</f>
        <v>Quarterly</v>
      </c>
      <c r="L180" s="11">
        <f>IFERROR(VALUE(B̳ases!I178),0)</f>
        <v>30</v>
      </c>
      <c r="M180" s="11">
        <f>B̳ases!K178</f>
        <v>20</v>
      </c>
      <c r="N180" s="6"/>
      <c r="O180" s="6"/>
      <c r="P180" s="6"/>
      <c r="Q180" s="6"/>
    </row>
    <row r="181" spans="1:17" ht="16.5" x14ac:dyDescent="0.3">
      <c r="A181" s="8">
        <f>B̳ases!A179</f>
        <v>3408</v>
      </c>
      <c r="B181" s="9" t="str">
        <f>B̳ases!C179</f>
        <v>Standard</v>
      </c>
      <c r="C181" s="10">
        <f>B̳ases!D179</f>
        <v>45525</v>
      </c>
      <c r="D181" s="9" t="str">
        <f t="shared" si="4"/>
        <v>ago</v>
      </c>
      <c r="E181" s="8">
        <f t="shared" si="5"/>
        <v>8</v>
      </c>
      <c r="F181" s="8">
        <f>IF(B̳ases!E179="Yes",1,0)</f>
        <v>1</v>
      </c>
      <c r="G181" s="8">
        <f>IF(B̳ases!H179="Yes",1,0)</f>
        <v>0</v>
      </c>
      <c r="H181" s="8">
        <f>IF(B̳ases!J179="Yes",1,0)</f>
        <v>1</v>
      </c>
      <c r="I181" s="11">
        <f>B̳ases!M179</f>
        <v>20</v>
      </c>
      <c r="J181" s="11">
        <f>B̳ases!L179</f>
        <v>10</v>
      </c>
      <c r="K181" s="9" t="str">
        <f>B̳ases!G179</f>
        <v>Annual</v>
      </c>
      <c r="L181" s="11">
        <f>IFERROR(VALUE(B̳ases!I179),0)</f>
        <v>0</v>
      </c>
      <c r="M181" s="11">
        <f>B̳ases!K179</f>
        <v>20</v>
      </c>
      <c r="N181" s="6"/>
      <c r="O181" s="6"/>
      <c r="P181" s="6"/>
      <c r="Q181" s="6"/>
    </row>
    <row r="182" spans="1:17" ht="16.5" x14ac:dyDescent="0.3">
      <c r="A182" s="8">
        <f>B̳ases!A180</f>
        <v>3409</v>
      </c>
      <c r="B182" s="9" t="str">
        <f>B̳ases!C180</f>
        <v>Core</v>
      </c>
      <c r="C182" s="10">
        <f>B̳ases!D180</f>
        <v>45526</v>
      </c>
      <c r="D182" s="9" t="str">
        <f t="shared" si="4"/>
        <v>ago</v>
      </c>
      <c r="E182" s="8">
        <f t="shared" si="5"/>
        <v>8</v>
      </c>
      <c r="F182" s="8">
        <f>IF(B̳ases!E180="Yes",1,0)</f>
        <v>0</v>
      </c>
      <c r="G182" s="8">
        <f>IF(B̳ases!H180="Yes",1,0)</f>
        <v>0</v>
      </c>
      <c r="H182" s="8">
        <f>IF(B̳ases!J180="Yes",1,0)</f>
        <v>0</v>
      </c>
      <c r="I182" s="11">
        <f>B̳ases!M180</f>
        <v>4</v>
      </c>
      <c r="J182" s="11">
        <f>B̳ases!L180</f>
        <v>1</v>
      </c>
      <c r="K182" s="9" t="str">
        <f>B̳ases!G180</f>
        <v>Quarterly</v>
      </c>
      <c r="L182" s="11">
        <f>IFERROR(VALUE(B̳ases!I180),0)</f>
        <v>0</v>
      </c>
      <c r="M182" s="11">
        <f>B̳ases!K180</f>
        <v>0</v>
      </c>
      <c r="N182" s="6"/>
      <c r="O182" s="6"/>
      <c r="P182" s="6"/>
      <c r="Q182" s="6"/>
    </row>
    <row r="183" spans="1:17" ht="16.5" x14ac:dyDescent="0.3">
      <c r="A183" s="8">
        <f>B̳ases!A181</f>
        <v>3410</v>
      </c>
      <c r="B183" s="9" t="str">
        <f>B̳ases!C181</f>
        <v>Ultimate</v>
      </c>
      <c r="C183" s="10">
        <f>B̳ases!D181</f>
        <v>45527</v>
      </c>
      <c r="D183" s="9" t="str">
        <f t="shared" si="4"/>
        <v>ago</v>
      </c>
      <c r="E183" s="8">
        <f t="shared" si="5"/>
        <v>8</v>
      </c>
      <c r="F183" s="8">
        <f>IF(B̳ases!E181="Yes",1,0)</f>
        <v>1</v>
      </c>
      <c r="G183" s="8">
        <f>IF(B̳ases!H181="Yes",1,0)</f>
        <v>1</v>
      </c>
      <c r="H183" s="8">
        <f>IF(B̳ases!J181="Yes",1,0)</f>
        <v>1</v>
      </c>
      <c r="I183" s="11">
        <f>B̳ases!M181</f>
        <v>50</v>
      </c>
      <c r="J183" s="11">
        <f>B̳ases!L181</f>
        <v>15</v>
      </c>
      <c r="K183" s="9" t="str">
        <f>B̳ases!G181</f>
        <v>Monthly</v>
      </c>
      <c r="L183" s="11">
        <f>IFERROR(VALUE(B̳ases!I181),0)</f>
        <v>30</v>
      </c>
      <c r="M183" s="11">
        <f>B̳ases!K181</f>
        <v>20</v>
      </c>
      <c r="N183" s="6"/>
      <c r="O183" s="6"/>
      <c r="P183" s="6"/>
      <c r="Q183" s="6"/>
    </row>
    <row r="184" spans="1:17" ht="16.5" x14ac:dyDescent="0.3">
      <c r="A184" s="8">
        <f>B̳ases!A182</f>
        <v>3411</v>
      </c>
      <c r="B184" s="9" t="str">
        <f>B̳ases!C182</f>
        <v>Standard</v>
      </c>
      <c r="C184" s="10">
        <f>B̳ases!D182</f>
        <v>45528</v>
      </c>
      <c r="D184" s="9" t="str">
        <f t="shared" si="4"/>
        <v>ago</v>
      </c>
      <c r="E184" s="8">
        <f t="shared" si="5"/>
        <v>8</v>
      </c>
      <c r="F184" s="8">
        <f>IF(B̳ases!E182="Yes",1,0)</f>
        <v>0</v>
      </c>
      <c r="G184" s="8">
        <f>IF(B̳ases!H182="Yes",1,0)</f>
        <v>0</v>
      </c>
      <c r="H184" s="8">
        <f>IF(B̳ases!J182="Yes",1,0)</f>
        <v>1</v>
      </c>
      <c r="I184" s="11">
        <f>B̳ases!M182</f>
        <v>25</v>
      </c>
      <c r="J184" s="11">
        <f>B̳ases!L182</f>
        <v>5</v>
      </c>
      <c r="K184" s="9" t="str">
        <f>B̳ases!G182</f>
        <v>Monthly</v>
      </c>
      <c r="L184" s="11">
        <f>IFERROR(VALUE(B̳ases!I182),0)</f>
        <v>0</v>
      </c>
      <c r="M184" s="11">
        <f>B̳ases!K182</f>
        <v>20</v>
      </c>
      <c r="N184" s="6"/>
      <c r="O184" s="6"/>
      <c r="P184" s="6"/>
      <c r="Q184" s="6"/>
    </row>
    <row r="185" spans="1:17" ht="16.5" x14ac:dyDescent="0.3">
      <c r="A185" s="8">
        <f>B̳ases!A183</f>
        <v>3412</v>
      </c>
      <c r="B185" s="9" t="str">
        <f>B̳ases!C183</f>
        <v>Core</v>
      </c>
      <c r="C185" s="10">
        <f>B̳ases!D183</f>
        <v>45529</v>
      </c>
      <c r="D185" s="9" t="str">
        <f t="shared" si="4"/>
        <v>ago</v>
      </c>
      <c r="E185" s="8">
        <f t="shared" si="5"/>
        <v>8</v>
      </c>
      <c r="F185" s="8">
        <f>IF(B̳ases!E183="Yes",1,0)</f>
        <v>1</v>
      </c>
      <c r="G185" s="8">
        <f>IF(B̳ases!H183="Yes",1,0)</f>
        <v>0</v>
      </c>
      <c r="H185" s="8">
        <f>IF(B̳ases!J183="Yes",1,0)</f>
        <v>0</v>
      </c>
      <c r="I185" s="11">
        <f>B̳ases!M183</f>
        <v>5</v>
      </c>
      <c r="J185" s="11">
        <f>B̳ases!L183</f>
        <v>0</v>
      </c>
      <c r="K185" s="9" t="str">
        <f>B̳ases!G183</f>
        <v>Annual</v>
      </c>
      <c r="L185" s="11">
        <f>IFERROR(VALUE(B̳ases!I183),0)</f>
        <v>0</v>
      </c>
      <c r="M185" s="11">
        <f>B̳ases!K183</f>
        <v>0</v>
      </c>
      <c r="N185" s="6"/>
      <c r="O185" s="6"/>
      <c r="P185" s="6"/>
      <c r="Q185" s="6"/>
    </row>
    <row r="186" spans="1:17" ht="16.5" x14ac:dyDescent="0.3">
      <c r="A186" s="8">
        <f>B̳ases!A184</f>
        <v>3413</v>
      </c>
      <c r="B186" s="9" t="str">
        <f>B̳ases!C184</f>
        <v>Ultimate</v>
      </c>
      <c r="C186" s="10">
        <f>B̳ases!D184</f>
        <v>45530</v>
      </c>
      <c r="D186" s="9" t="str">
        <f t="shared" si="4"/>
        <v>ago</v>
      </c>
      <c r="E186" s="8">
        <f t="shared" si="5"/>
        <v>8</v>
      </c>
      <c r="F186" s="8">
        <f>IF(B̳ases!E184="Yes",1,0)</f>
        <v>0</v>
      </c>
      <c r="G186" s="8">
        <f>IF(B̳ases!H184="Yes",1,0)</f>
        <v>1</v>
      </c>
      <c r="H186" s="8">
        <f>IF(B̳ases!J184="Yes",1,0)</f>
        <v>1</v>
      </c>
      <c r="I186" s="11">
        <f>B̳ases!M184</f>
        <v>45</v>
      </c>
      <c r="J186" s="11">
        <f>B̳ases!L184</f>
        <v>20</v>
      </c>
      <c r="K186" s="9" t="str">
        <f>B̳ases!G184</f>
        <v>Quarterly</v>
      </c>
      <c r="L186" s="11">
        <f>IFERROR(VALUE(B̳ases!I184),0)</f>
        <v>30</v>
      </c>
      <c r="M186" s="11">
        <f>B̳ases!K184</f>
        <v>20</v>
      </c>
      <c r="N186" s="6"/>
      <c r="O186" s="6"/>
      <c r="P186" s="6"/>
      <c r="Q186" s="6"/>
    </row>
    <row r="187" spans="1:17" ht="16.5" x14ac:dyDescent="0.3">
      <c r="A187" s="8">
        <f>B̳ases!A185</f>
        <v>3414</v>
      </c>
      <c r="B187" s="9" t="str">
        <f>B̳ases!C185</f>
        <v>Standard</v>
      </c>
      <c r="C187" s="10">
        <f>B̳ases!D185</f>
        <v>45531</v>
      </c>
      <c r="D187" s="9" t="str">
        <f t="shared" si="4"/>
        <v>ago</v>
      </c>
      <c r="E187" s="8">
        <f t="shared" si="5"/>
        <v>8</v>
      </c>
      <c r="F187" s="8">
        <f>IF(B̳ases!E185="Yes",1,0)</f>
        <v>1</v>
      </c>
      <c r="G187" s="8">
        <f>IF(B̳ases!H185="Yes",1,0)</f>
        <v>0</v>
      </c>
      <c r="H187" s="8">
        <f>IF(B̳ases!J185="Yes",1,0)</f>
        <v>1</v>
      </c>
      <c r="I187" s="11">
        <f>B̳ases!M185</f>
        <v>18</v>
      </c>
      <c r="J187" s="11">
        <f>B̳ases!L185</f>
        <v>12</v>
      </c>
      <c r="K187" s="9" t="str">
        <f>B̳ases!G185</f>
        <v>Quarterly</v>
      </c>
      <c r="L187" s="11">
        <f>IFERROR(VALUE(B̳ases!I185),0)</f>
        <v>0</v>
      </c>
      <c r="M187" s="11">
        <f>B̳ases!K185</f>
        <v>20</v>
      </c>
      <c r="N187" s="6"/>
      <c r="O187" s="6"/>
      <c r="P187" s="6"/>
      <c r="Q187" s="6"/>
    </row>
    <row r="188" spans="1:17" ht="16.5" x14ac:dyDescent="0.3">
      <c r="A188" s="8">
        <f>B̳ases!A186</f>
        <v>3415</v>
      </c>
      <c r="B188" s="9" t="str">
        <f>B̳ases!C186</f>
        <v>Core</v>
      </c>
      <c r="C188" s="10">
        <f>B̳ases!D186</f>
        <v>45532</v>
      </c>
      <c r="D188" s="9" t="str">
        <f t="shared" si="4"/>
        <v>ago</v>
      </c>
      <c r="E188" s="8">
        <f t="shared" si="5"/>
        <v>8</v>
      </c>
      <c r="F188" s="8">
        <f>IF(B̳ases!E186="Yes",1,0)</f>
        <v>0</v>
      </c>
      <c r="G188" s="8">
        <f>IF(B̳ases!H186="Yes",1,0)</f>
        <v>0</v>
      </c>
      <c r="H188" s="8">
        <f>IF(B̳ases!J186="Yes",1,0)</f>
        <v>0</v>
      </c>
      <c r="I188" s="11">
        <f>B̳ases!M186</f>
        <v>3</v>
      </c>
      <c r="J188" s="11">
        <f>B̳ases!L186</f>
        <v>2</v>
      </c>
      <c r="K188" s="9" t="str">
        <f>B̳ases!G186</f>
        <v>Monthly</v>
      </c>
      <c r="L188" s="11">
        <f>IFERROR(VALUE(B̳ases!I186),0)</f>
        <v>0</v>
      </c>
      <c r="M188" s="11">
        <f>B̳ases!K186</f>
        <v>0</v>
      </c>
      <c r="N188" s="6"/>
      <c r="O188" s="6"/>
      <c r="P188" s="6"/>
      <c r="Q188" s="6"/>
    </row>
    <row r="189" spans="1:17" ht="16.5" x14ac:dyDescent="0.3">
      <c r="A189" s="8">
        <f>B̳ases!A187</f>
        <v>3416</v>
      </c>
      <c r="B189" s="9" t="str">
        <f>B̳ases!C187</f>
        <v>Ultimate</v>
      </c>
      <c r="C189" s="10">
        <f>B̳ases!D187</f>
        <v>45533</v>
      </c>
      <c r="D189" s="9" t="str">
        <f t="shared" si="4"/>
        <v>ago</v>
      </c>
      <c r="E189" s="8">
        <f t="shared" si="5"/>
        <v>8</v>
      </c>
      <c r="F189" s="8">
        <f>IF(B̳ases!E187="Yes",1,0)</f>
        <v>1</v>
      </c>
      <c r="G189" s="8">
        <f>IF(B̳ases!H187="Yes",1,0)</f>
        <v>1</v>
      </c>
      <c r="H189" s="8">
        <f>IF(B̳ases!J187="Yes",1,0)</f>
        <v>1</v>
      </c>
      <c r="I189" s="11">
        <f>B̳ases!M187</f>
        <v>60</v>
      </c>
      <c r="J189" s="11">
        <f>B̳ases!L187</f>
        <v>5</v>
      </c>
      <c r="K189" s="9" t="str">
        <f>B̳ases!G187</f>
        <v>Annual</v>
      </c>
      <c r="L189" s="11">
        <f>IFERROR(VALUE(B̳ases!I187),0)</f>
        <v>30</v>
      </c>
      <c r="M189" s="11">
        <f>B̳ases!K187</f>
        <v>20</v>
      </c>
      <c r="N189" s="6"/>
      <c r="O189" s="6"/>
      <c r="P189" s="6"/>
      <c r="Q189" s="6"/>
    </row>
    <row r="190" spans="1:17" ht="16.5" x14ac:dyDescent="0.3">
      <c r="A190" s="8">
        <f>B̳ases!A188</f>
        <v>3417</v>
      </c>
      <c r="B190" s="9" t="str">
        <f>B̳ases!C188</f>
        <v>Standard</v>
      </c>
      <c r="C190" s="10">
        <f>B̳ases!D188</f>
        <v>45534</v>
      </c>
      <c r="D190" s="9" t="str">
        <f t="shared" si="4"/>
        <v>ago</v>
      </c>
      <c r="E190" s="8">
        <f t="shared" si="5"/>
        <v>8</v>
      </c>
      <c r="F190" s="8">
        <f>IF(B̳ases!E188="Yes",1,0)</f>
        <v>0</v>
      </c>
      <c r="G190" s="8">
        <f>IF(B̳ases!H188="Yes",1,0)</f>
        <v>0</v>
      </c>
      <c r="H190" s="8">
        <f>IF(B̳ases!J188="Yes",1,0)</f>
        <v>1</v>
      </c>
      <c r="I190" s="11">
        <f>B̳ases!M188</f>
        <v>20</v>
      </c>
      <c r="J190" s="11">
        <f>B̳ases!L188</f>
        <v>10</v>
      </c>
      <c r="K190" s="9" t="str">
        <f>B̳ases!G188</f>
        <v>Monthly</v>
      </c>
      <c r="L190" s="11">
        <f>IFERROR(VALUE(B̳ases!I188),0)</f>
        <v>0</v>
      </c>
      <c r="M190" s="11">
        <f>B̳ases!K188</f>
        <v>20</v>
      </c>
      <c r="N190" s="6"/>
      <c r="O190" s="6"/>
      <c r="P190" s="6"/>
      <c r="Q190" s="6"/>
    </row>
    <row r="191" spans="1:17" ht="16.5" x14ac:dyDescent="0.3">
      <c r="A191" s="8">
        <f>B̳ases!A189</f>
        <v>3418</v>
      </c>
      <c r="B191" s="9" t="str">
        <f>B̳ases!C189</f>
        <v>Core</v>
      </c>
      <c r="C191" s="10">
        <f>B̳ases!D189</f>
        <v>45535</v>
      </c>
      <c r="D191" s="9" t="str">
        <f t="shared" si="4"/>
        <v>ago</v>
      </c>
      <c r="E191" s="8">
        <f t="shared" si="5"/>
        <v>8</v>
      </c>
      <c r="F191" s="8">
        <f>IF(B̳ases!E189="Yes",1,0)</f>
        <v>1</v>
      </c>
      <c r="G191" s="8">
        <f>IF(B̳ases!H189="Yes",1,0)</f>
        <v>0</v>
      </c>
      <c r="H191" s="8">
        <f>IF(B̳ases!J189="Yes",1,0)</f>
        <v>0</v>
      </c>
      <c r="I191" s="11">
        <f>B̳ases!M189</f>
        <v>5</v>
      </c>
      <c r="J191" s="11">
        <f>B̳ases!L189</f>
        <v>0</v>
      </c>
      <c r="K191" s="9" t="str">
        <f>B̳ases!G189</f>
        <v>Quarterly</v>
      </c>
      <c r="L191" s="11">
        <f>IFERROR(VALUE(B̳ases!I189),0)</f>
        <v>0</v>
      </c>
      <c r="M191" s="11">
        <f>B̳ases!K189</f>
        <v>0</v>
      </c>
      <c r="N191" s="6"/>
      <c r="O191" s="6"/>
      <c r="P191" s="6"/>
      <c r="Q191" s="6"/>
    </row>
    <row r="192" spans="1:17" ht="16.5" x14ac:dyDescent="0.3">
      <c r="A192" s="8">
        <f>B̳ases!A190</f>
        <v>3419</v>
      </c>
      <c r="B192" s="9" t="str">
        <f>B̳ases!C190</f>
        <v>Ultimate</v>
      </c>
      <c r="C192" s="10">
        <f>B̳ases!D190</f>
        <v>45536</v>
      </c>
      <c r="D192" s="9" t="str">
        <f t="shared" si="4"/>
        <v>set</v>
      </c>
      <c r="E192" s="8">
        <f t="shared" si="5"/>
        <v>9</v>
      </c>
      <c r="F192" s="8">
        <f>IF(B̳ases!E190="Yes",1,0)</f>
        <v>0</v>
      </c>
      <c r="G192" s="8">
        <f>IF(B̳ases!H190="Yes",1,0)</f>
        <v>1</v>
      </c>
      <c r="H192" s="8">
        <f>IF(B̳ases!J190="Yes",1,0)</f>
        <v>1</v>
      </c>
      <c r="I192" s="11">
        <f>B̳ases!M190</f>
        <v>62</v>
      </c>
      <c r="J192" s="11">
        <f>B̳ases!L190</f>
        <v>3</v>
      </c>
      <c r="K192" s="9" t="str">
        <f>B̳ases!G190</f>
        <v>Monthly</v>
      </c>
      <c r="L192" s="11">
        <f>IFERROR(VALUE(B̳ases!I190),0)</f>
        <v>30</v>
      </c>
      <c r="M192" s="11">
        <f>B̳ases!K190</f>
        <v>20</v>
      </c>
      <c r="N192" s="6"/>
      <c r="O192" s="6"/>
      <c r="P192" s="6"/>
      <c r="Q192" s="6"/>
    </row>
    <row r="193" spans="1:17" ht="16.5" x14ac:dyDescent="0.3">
      <c r="A193" s="8">
        <f>B̳ases!A191</f>
        <v>3420</v>
      </c>
      <c r="B193" s="9" t="str">
        <f>B̳ases!C191</f>
        <v>Standard</v>
      </c>
      <c r="C193" s="10">
        <f>B̳ases!D191</f>
        <v>45537</v>
      </c>
      <c r="D193" s="9" t="str">
        <f t="shared" si="4"/>
        <v>set</v>
      </c>
      <c r="E193" s="8">
        <f t="shared" si="5"/>
        <v>9</v>
      </c>
      <c r="F193" s="8">
        <f>IF(B̳ases!E191="Yes",1,0)</f>
        <v>1</v>
      </c>
      <c r="G193" s="8">
        <f>IF(B̳ases!H191="Yes",1,0)</f>
        <v>0</v>
      </c>
      <c r="H193" s="8">
        <f>IF(B̳ases!J191="Yes",1,0)</f>
        <v>1</v>
      </c>
      <c r="I193" s="11">
        <f>B̳ases!M191</f>
        <v>15</v>
      </c>
      <c r="J193" s="11">
        <f>B̳ases!L191</f>
        <v>15</v>
      </c>
      <c r="K193" s="9" t="str">
        <f>B̳ases!G191</f>
        <v>Annual</v>
      </c>
      <c r="L193" s="11">
        <f>IFERROR(VALUE(B̳ases!I191),0)</f>
        <v>0</v>
      </c>
      <c r="M193" s="11">
        <f>B̳ases!K191</f>
        <v>20</v>
      </c>
      <c r="N193" s="6"/>
      <c r="O193" s="6"/>
      <c r="P193" s="6"/>
      <c r="Q193" s="6"/>
    </row>
    <row r="194" spans="1:17" ht="16.5" x14ac:dyDescent="0.3">
      <c r="A194" s="8">
        <f>B̳ases!A192</f>
        <v>3421</v>
      </c>
      <c r="B194" s="9" t="str">
        <f>B̳ases!C192</f>
        <v>Core</v>
      </c>
      <c r="C194" s="10">
        <f>B̳ases!D192</f>
        <v>45538</v>
      </c>
      <c r="D194" s="9" t="str">
        <f t="shared" si="4"/>
        <v>set</v>
      </c>
      <c r="E194" s="8">
        <f t="shared" si="5"/>
        <v>9</v>
      </c>
      <c r="F194" s="8">
        <f>IF(B̳ases!E192="Yes",1,0)</f>
        <v>0</v>
      </c>
      <c r="G194" s="8">
        <f>IF(B̳ases!H192="Yes",1,0)</f>
        <v>0</v>
      </c>
      <c r="H194" s="8">
        <f>IF(B̳ases!J192="Yes",1,0)</f>
        <v>0</v>
      </c>
      <c r="I194" s="11">
        <f>B̳ases!M192</f>
        <v>4</v>
      </c>
      <c r="J194" s="11">
        <f>B̳ases!L192</f>
        <v>1</v>
      </c>
      <c r="K194" s="9" t="str">
        <f>B̳ases!G192</f>
        <v>Monthly</v>
      </c>
      <c r="L194" s="11">
        <f>IFERROR(VALUE(B̳ases!I192),0)</f>
        <v>0</v>
      </c>
      <c r="M194" s="11">
        <f>B̳ases!K192</f>
        <v>0</v>
      </c>
      <c r="N194" s="6"/>
      <c r="O194" s="6"/>
      <c r="P194" s="6"/>
      <c r="Q194" s="6"/>
    </row>
    <row r="195" spans="1:17" ht="16.5" x14ac:dyDescent="0.3">
      <c r="A195" s="8">
        <f>B̳ases!A193</f>
        <v>3422</v>
      </c>
      <c r="B195" s="9" t="str">
        <f>B̳ases!C193</f>
        <v>Ultimate</v>
      </c>
      <c r="C195" s="10">
        <f>B̳ases!D193</f>
        <v>45539</v>
      </c>
      <c r="D195" s="9" t="str">
        <f t="shared" si="4"/>
        <v>set</v>
      </c>
      <c r="E195" s="8">
        <f t="shared" si="5"/>
        <v>9</v>
      </c>
      <c r="F195" s="8">
        <f>IF(B̳ases!E193="Yes",1,0)</f>
        <v>1</v>
      </c>
      <c r="G195" s="8">
        <f>IF(B̳ases!H193="Yes",1,0)</f>
        <v>1</v>
      </c>
      <c r="H195" s="8">
        <f>IF(B̳ases!J193="Yes",1,0)</f>
        <v>1</v>
      </c>
      <c r="I195" s="11">
        <f>B̳ases!M193</f>
        <v>58</v>
      </c>
      <c r="J195" s="11">
        <f>B̳ases!L193</f>
        <v>7</v>
      </c>
      <c r="K195" s="9" t="str">
        <f>B̳ases!G193</f>
        <v>Quarterly</v>
      </c>
      <c r="L195" s="11">
        <f>IFERROR(VALUE(B̳ases!I193),0)</f>
        <v>30</v>
      </c>
      <c r="M195" s="11">
        <f>B̳ases!K193</f>
        <v>20</v>
      </c>
      <c r="N195" s="6"/>
      <c r="O195" s="6"/>
      <c r="P195" s="6"/>
      <c r="Q195" s="6"/>
    </row>
    <row r="196" spans="1:17" ht="16.5" x14ac:dyDescent="0.3">
      <c r="A196" s="8">
        <f>B̳ases!A194</f>
        <v>3423</v>
      </c>
      <c r="B196" s="9" t="str">
        <f>B̳ases!C194</f>
        <v>Standard</v>
      </c>
      <c r="C196" s="10">
        <f>B̳ases!D194</f>
        <v>45540</v>
      </c>
      <c r="D196" s="9" t="str">
        <f t="shared" ref="D196:D259" si="6">TEXT(C196,"mmm")</f>
        <v>set</v>
      </c>
      <c r="E196" s="8">
        <f t="shared" ref="E196:E259" si="7">MONTH(C196)</f>
        <v>9</v>
      </c>
      <c r="F196" s="8">
        <f>IF(B̳ases!E194="Yes",1,0)</f>
        <v>0</v>
      </c>
      <c r="G196" s="8">
        <f>IF(B̳ases!H194="Yes",1,0)</f>
        <v>0</v>
      </c>
      <c r="H196" s="8">
        <f>IF(B̳ases!J194="Yes",1,0)</f>
        <v>1</v>
      </c>
      <c r="I196" s="11">
        <f>B̳ases!M194</f>
        <v>20</v>
      </c>
      <c r="J196" s="11">
        <f>B̳ases!L194</f>
        <v>10</v>
      </c>
      <c r="K196" s="9" t="str">
        <f>B̳ases!G194</f>
        <v>Monthly</v>
      </c>
      <c r="L196" s="11">
        <f>IFERROR(VALUE(B̳ases!I194),0)</f>
        <v>0</v>
      </c>
      <c r="M196" s="11">
        <f>B̳ases!K194</f>
        <v>20</v>
      </c>
      <c r="N196" s="6"/>
      <c r="O196" s="6"/>
      <c r="P196" s="6"/>
      <c r="Q196" s="6"/>
    </row>
    <row r="197" spans="1:17" ht="16.5" x14ac:dyDescent="0.3">
      <c r="A197" s="8">
        <f>B̳ases!A195</f>
        <v>3424</v>
      </c>
      <c r="B197" s="9" t="str">
        <f>B̳ases!C195</f>
        <v>Core</v>
      </c>
      <c r="C197" s="10">
        <f>B̳ases!D195</f>
        <v>45541</v>
      </c>
      <c r="D197" s="9" t="str">
        <f t="shared" si="6"/>
        <v>set</v>
      </c>
      <c r="E197" s="8">
        <f t="shared" si="7"/>
        <v>9</v>
      </c>
      <c r="F197" s="8">
        <f>IF(B̳ases!E195="Yes",1,0)</f>
        <v>1</v>
      </c>
      <c r="G197" s="8">
        <f>IF(B̳ases!H195="Yes",1,0)</f>
        <v>0</v>
      </c>
      <c r="H197" s="8">
        <f>IF(B̳ases!J195="Yes",1,0)</f>
        <v>0</v>
      </c>
      <c r="I197" s="11">
        <f>B̳ases!M195</f>
        <v>5</v>
      </c>
      <c r="J197" s="11">
        <f>B̳ases!L195</f>
        <v>0</v>
      </c>
      <c r="K197" s="9" t="str">
        <f>B̳ases!G195</f>
        <v>Annual</v>
      </c>
      <c r="L197" s="11">
        <f>IFERROR(VALUE(B̳ases!I195),0)</f>
        <v>0</v>
      </c>
      <c r="M197" s="11">
        <f>B̳ases!K195</f>
        <v>0</v>
      </c>
      <c r="N197" s="6"/>
      <c r="O197" s="6"/>
      <c r="P197" s="6"/>
      <c r="Q197" s="6"/>
    </row>
    <row r="198" spans="1:17" ht="16.5" x14ac:dyDescent="0.3">
      <c r="A198" s="8">
        <f>B̳ases!A196</f>
        <v>3425</v>
      </c>
      <c r="B198" s="9" t="str">
        <f>B̳ases!C196</f>
        <v>Ultimate</v>
      </c>
      <c r="C198" s="10">
        <f>B̳ases!D196</f>
        <v>45542</v>
      </c>
      <c r="D198" s="9" t="str">
        <f t="shared" si="6"/>
        <v>set</v>
      </c>
      <c r="E198" s="8">
        <f t="shared" si="7"/>
        <v>9</v>
      </c>
      <c r="F198" s="8">
        <f>IF(B̳ases!E196="Yes",1,0)</f>
        <v>0</v>
      </c>
      <c r="G198" s="8">
        <f>IF(B̳ases!H196="Yes",1,0)</f>
        <v>1</v>
      </c>
      <c r="H198" s="8">
        <f>IF(B̳ases!J196="Yes",1,0)</f>
        <v>1</v>
      </c>
      <c r="I198" s="11">
        <f>B̳ases!M196</f>
        <v>45</v>
      </c>
      <c r="J198" s="11">
        <f>B̳ases!L196</f>
        <v>20</v>
      </c>
      <c r="K198" s="9" t="str">
        <f>B̳ases!G196</f>
        <v>Monthly</v>
      </c>
      <c r="L198" s="11">
        <f>IFERROR(VALUE(B̳ases!I196),0)</f>
        <v>30</v>
      </c>
      <c r="M198" s="11">
        <f>B̳ases!K196</f>
        <v>20</v>
      </c>
      <c r="N198" s="6"/>
      <c r="O198" s="6"/>
      <c r="P198" s="6"/>
      <c r="Q198" s="6"/>
    </row>
    <row r="199" spans="1:17" ht="16.5" x14ac:dyDescent="0.3">
      <c r="A199" s="8">
        <f>B̳ases!A197</f>
        <v>3426</v>
      </c>
      <c r="B199" s="9" t="str">
        <f>B̳ases!C197</f>
        <v>Standard</v>
      </c>
      <c r="C199" s="10">
        <f>B̳ases!D197</f>
        <v>45543</v>
      </c>
      <c r="D199" s="9" t="str">
        <f t="shared" si="6"/>
        <v>set</v>
      </c>
      <c r="E199" s="8">
        <f t="shared" si="7"/>
        <v>9</v>
      </c>
      <c r="F199" s="8">
        <f>IF(B̳ases!E197="Yes",1,0)</f>
        <v>1</v>
      </c>
      <c r="G199" s="8">
        <f>IF(B̳ases!H197="Yes",1,0)</f>
        <v>0</v>
      </c>
      <c r="H199" s="8">
        <f>IF(B̳ases!J197="Yes",1,0)</f>
        <v>1</v>
      </c>
      <c r="I199" s="11">
        <f>B̳ases!M197</f>
        <v>15</v>
      </c>
      <c r="J199" s="11">
        <f>B̳ases!L197</f>
        <v>15</v>
      </c>
      <c r="K199" s="9" t="str">
        <f>B̳ases!G197</f>
        <v>Quarterly</v>
      </c>
      <c r="L199" s="11">
        <f>IFERROR(VALUE(B̳ases!I197),0)</f>
        <v>0</v>
      </c>
      <c r="M199" s="11">
        <f>B̳ases!K197</f>
        <v>20</v>
      </c>
      <c r="N199" s="6"/>
      <c r="O199" s="6"/>
      <c r="P199" s="6"/>
      <c r="Q199" s="6"/>
    </row>
    <row r="200" spans="1:17" ht="16.5" x14ac:dyDescent="0.3">
      <c r="A200" s="8">
        <f>B̳ases!A198</f>
        <v>3427</v>
      </c>
      <c r="B200" s="9" t="str">
        <f>B̳ases!C198</f>
        <v>Core</v>
      </c>
      <c r="C200" s="10">
        <f>B̳ases!D198</f>
        <v>45544</v>
      </c>
      <c r="D200" s="9" t="str">
        <f t="shared" si="6"/>
        <v>set</v>
      </c>
      <c r="E200" s="8">
        <f t="shared" si="7"/>
        <v>9</v>
      </c>
      <c r="F200" s="8">
        <f>IF(B̳ases!E198="Yes",1,0)</f>
        <v>0</v>
      </c>
      <c r="G200" s="8">
        <f>IF(B̳ases!H198="Yes",1,0)</f>
        <v>0</v>
      </c>
      <c r="H200" s="8">
        <f>IF(B̳ases!J198="Yes",1,0)</f>
        <v>0</v>
      </c>
      <c r="I200" s="11">
        <f>B̳ases!M198</f>
        <v>4</v>
      </c>
      <c r="J200" s="11">
        <f>B̳ases!L198</f>
        <v>1</v>
      </c>
      <c r="K200" s="9" t="str">
        <f>B̳ases!G198</f>
        <v>Monthly</v>
      </c>
      <c r="L200" s="11">
        <f>IFERROR(VALUE(B̳ases!I198),0)</f>
        <v>0</v>
      </c>
      <c r="M200" s="11">
        <f>B̳ases!K198</f>
        <v>0</v>
      </c>
      <c r="N200" s="6"/>
      <c r="O200" s="6"/>
      <c r="P200" s="6"/>
      <c r="Q200" s="6"/>
    </row>
    <row r="201" spans="1:17" ht="16.5" x14ac:dyDescent="0.3">
      <c r="A201" s="8">
        <f>B̳ases!A199</f>
        <v>3428</v>
      </c>
      <c r="B201" s="9" t="str">
        <f>B̳ases!C199</f>
        <v>Ultimate</v>
      </c>
      <c r="C201" s="10">
        <f>B̳ases!D199</f>
        <v>45545</v>
      </c>
      <c r="D201" s="9" t="str">
        <f t="shared" si="6"/>
        <v>set</v>
      </c>
      <c r="E201" s="8">
        <f t="shared" si="7"/>
        <v>9</v>
      </c>
      <c r="F201" s="8">
        <f>IF(B̳ases!E199="Yes",1,0)</f>
        <v>1</v>
      </c>
      <c r="G201" s="8">
        <f>IF(B̳ases!H199="Yes",1,0)</f>
        <v>1</v>
      </c>
      <c r="H201" s="8">
        <f>IF(B̳ases!J199="Yes",1,0)</f>
        <v>1</v>
      </c>
      <c r="I201" s="11">
        <f>B̳ases!M199</f>
        <v>62</v>
      </c>
      <c r="J201" s="11">
        <f>B̳ases!L199</f>
        <v>3</v>
      </c>
      <c r="K201" s="9" t="str">
        <f>B̳ases!G199</f>
        <v>Annual</v>
      </c>
      <c r="L201" s="11">
        <f>IFERROR(VALUE(B̳ases!I199),0)</f>
        <v>30</v>
      </c>
      <c r="M201" s="11">
        <f>B̳ases!K199</f>
        <v>20</v>
      </c>
      <c r="N201" s="6"/>
      <c r="O201" s="6"/>
      <c r="P201" s="6"/>
      <c r="Q201" s="6"/>
    </row>
    <row r="202" spans="1:17" ht="16.5" x14ac:dyDescent="0.3">
      <c r="A202" s="8">
        <f>B̳ases!A200</f>
        <v>3429</v>
      </c>
      <c r="B202" s="9" t="str">
        <f>B̳ases!C200</f>
        <v>Standard</v>
      </c>
      <c r="C202" s="10">
        <f>B̳ases!D200</f>
        <v>45546</v>
      </c>
      <c r="D202" s="9" t="str">
        <f t="shared" si="6"/>
        <v>set</v>
      </c>
      <c r="E202" s="8">
        <f t="shared" si="7"/>
        <v>9</v>
      </c>
      <c r="F202" s="8">
        <f>IF(B̳ases!E200="Yes",1,0)</f>
        <v>0</v>
      </c>
      <c r="G202" s="8">
        <f>IF(B̳ases!H200="Yes",1,0)</f>
        <v>0</v>
      </c>
      <c r="H202" s="8">
        <f>IF(B̳ases!J200="Yes",1,0)</f>
        <v>1</v>
      </c>
      <c r="I202" s="11">
        <f>B̳ases!M200</f>
        <v>20</v>
      </c>
      <c r="J202" s="11">
        <f>B̳ases!L200</f>
        <v>10</v>
      </c>
      <c r="K202" s="9" t="str">
        <f>B̳ases!G200</f>
        <v>Monthly</v>
      </c>
      <c r="L202" s="11">
        <f>IFERROR(VALUE(B̳ases!I200),0)</f>
        <v>0</v>
      </c>
      <c r="M202" s="11">
        <f>B̳ases!K200</f>
        <v>20</v>
      </c>
      <c r="N202" s="6"/>
      <c r="O202" s="6"/>
      <c r="P202" s="6"/>
      <c r="Q202" s="6"/>
    </row>
    <row r="203" spans="1:17" ht="16.5" x14ac:dyDescent="0.3">
      <c r="A203" s="8">
        <f>B̳ases!A201</f>
        <v>3430</v>
      </c>
      <c r="B203" s="9" t="str">
        <f>B̳ases!C201</f>
        <v>Core</v>
      </c>
      <c r="C203" s="10">
        <f>B̳ases!D201</f>
        <v>45547</v>
      </c>
      <c r="D203" s="9" t="str">
        <f t="shared" si="6"/>
        <v>set</v>
      </c>
      <c r="E203" s="8">
        <f t="shared" si="7"/>
        <v>9</v>
      </c>
      <c r="F203" s="8">
        <f>IF(B̳ases!E201="Yes",1,0)</f>
        <v>1</v>
      </c>
      <c r="G203" s="8">
        <f>IF(B̳ases!H201="Yes",1,0)</f>
        <v>0</v>
      </c>
      <c r="H203" s="8">
        <f>IF(B̳ases!J201="Yes",1,0)</f>
        <v>0</v>
      </c>
      <c r="I203" s="11">
        <f>B̳ases!M201</f>
        <v>5</v>
      </c>
      <c r="J203" s="11">
        <f>B̳ases!L201</f>
        <v>0</v>
      </c>
      <c r="K203" s="9" t="str">
        <f>B̳ases!G201</f>
        <v>Quarterly</v>
      </c>
      <c r="L203" s="11">
        <f>IFERROR(VALUE(B̳ases!I201),0)</f>
        <v>0</v>
      </c>
      <c r="M203" s="11">
        <f>B̳ases!K201</f>
        <v>0</v>
      </c>
      <c r="N203" s="6"/>
      <c r="O203" s="6"/>
      <c r="P203" s="6"/>
      <c r="Q203" s="6"/>
    </row>
    <row r="204" spans="1:17" ht="16.5" x14ac:dyDescent="0.3">
      <c r="A204" s="8">
        <f>B̳ases!A202</f>
        <v>3431</v>
      </c>
      <c r="B204" s="9" t="str">
        <f>B̳ases!C202</f>
        <v>Ultimate</v>
      </c>
      <c r="C204" s="10">
        <f>B̳ases!D202</f>
        <v>45548</v>
      </c>
      <c r="D204" s="9" t="str">
        <f t="shared" si="6"/>
        <v>set</v>
      </c>
      <c r="E204" s="8">
        <f t="shared" si="7"/>
        <v>9</v>
      </c>
      <c r="F204" s="8">
        <f>IF(B̳ases!E202="Yes",1,0)</f>
        <v>0</v>
      </c>
      <c r="G204" s="8">
        <f>IF(B̳ases!H202="Yes",1,0)</f>
        <v>1</v>
      </c>
      <c r="H204" s="8">
        <f>IF(B̳ases!J202="Yes",1,0)</f>
        <v>1</v>
      </c>
      <c r="I204" s="11">
        <f>B̳ases!M202</f>
        <v>50</v>
      </c>
      <c r="J204" s="11">
        <f>B̳ases!L202</f>
        <v>15</v>
      </c>
      <c r="K204" s="9" t="str">
        <f>B̳ases!G202</f>
        <v>Monthly</v>
      </c>
      <c r="L204" s="11">
        <f>IFERROR(VALUE(B̳ases!I202),0)</f>
        <v>30</v>
      </c>
      <c r="M204" s="11">
        <f>B̳ases!K202</f>
        <v>20</v>
      </c>
      <c r="N204" s="6"/>
      <c r="O204" s="6"/>
      <c r="P204" s="6"/>
      <c r="Q204" s="6"/>
    </row>
    <row r="205" spans="1:17" ht="16.5" x14ac:dyDescent="0.3">
      <c r="A205" s="8">
        <f>B̳ases!A203</f>
        <v>3432</v>
      </c>
      <c r="B205" s="9" t="str">
        <f>B̳ases!C203</f>
        <v>Standard</v>
      </c>
      <c r="C205" s="10">
        <f>B̳ases!D203</f>
        <v>45549</v>
      </c>
      <c r="D205" s="9" t="str">
        <f t="shared" si="6"/>
        <v>set</v>
      </c>
      <c r="E205" s="8">
        <f t="shared" si="7"/>
        <v>9</v>
      </c>
      <c r="F205" s="8">
        <f>IF(B̳ases!E203="Yes",1,0)</f>
        <v>1</v>
      </c>
      <c r="G205" s="8">
        <f>IF(B̳ases!H203="Yes",1,0)</f>
        <v>0</v>
      </c>
      <c r="H205" s="8">
        <f>IF(B̳ases!J203="Yes",1,0)</f>
        <v>1</v>
      </c>
      <c r="I205" s="11">
        <f>B̳ases!M203</f>
        <v>15</v>
      </c>
      <c r="J205" s="11">
        <f>B̳ases!L203</f>
        <v>15</v>
      </c>
      <c r="K205" s="9" t="str">
        <f>B̳ases!G203</f>
        <v>Annual</v>
      </c>
      <c r="L205" s="11">
        <f>IFERROR(VALUE(B̳ases!I203),0)</f>
        <v>0</v>
      </c>
      <c r="M205" s="11">
        <f>B̳ases!K203</f>
        <v>20</v>
      </c>
      <c r="N205" s="6"/>
      <c r="O205" s="6"/>
      <c r="P205" s="6"/>
      <c r="Q205" s="6"/>
    </row>
    <row r="206" spans="1:17" ht="16.5" x14ac:dyDescent="0.3">
      <c r="A206" s="8">
        <f>B̳ases!A204</f>
        <v>3433</v>
      </c>
      <c r="B206" s="9" t="str">
        <f>B̳ases!C204</f>
        <v>Core</v>
      </c>
      <c r="C206" s="10">
        <f>B̳ases!D204</f>
        <v>45550</v>
      </c>
      <c r="D206" s="9" t="str">
        <f t="shared" si="6"/>
        <v>set</v>
      </c>
      <c r="E206" s="8">
        <f t="shared" si="7"/>
        <v>9</v>
      </c>
      <c r="F206" s="8">
        <f>IF(B̳ases!E204="Yes",1,0)</f>
        <v>0</v>
      </c>
      <c r="G206" s="8">
        <f>IF(B̳ases!H204="Yes",1,0)</f>
        <v>0</v>
      </c>
      <c r="H206" s="8">
        <f>IF(B̳ases!J204="Yes",1,0)</f>
        <v>0</v>
      </c>
      <c r="I206" s="11">
        <f>B̳ases!M204</f>
        <v>4</v>
      </c>
      <c r="J206" s="11">
        <f>B̳ases!L204</f>
        <v>1</v>
      </c>
      <c r="K206" s="9" t="str">
        <f>B̳ases!G204</f>
        <v>Monthly</v>
      </c>
      <c r="L206" s="11">
        <f>IFERROR(VALUE(B̳ases!I204),0)</f>
        <v>0</v>
      </c>
      <c r="M206" s="11">
        <f>B̳ases!K204</f>
        <v>0</v>
      </c>
      <c r="N206" s="6"/>
      <c r="O206" s="6"/>
      <c r="P206" s="6"/>
      <c r="Q206" s="6"/>
    </row>
    <row r="207" spans="1:17" ht="16.5" x14ac:dyDescent="0.3">
      <c r="A207" s="8">
        <f>B̳ases!A205</f>
        <v>3434</v>
      </c>
      <c r="B207" s="9" t="str">
        <f>B̳ases!C205</f>
        <v>Ultimate</v>
      </c>
      <c r="C207" s="10">
        <f>B̳ases!D205</f>
        <v>45551</v>
      </c>
      <c r="D207" s="9" t="str">
        <f t="shared" si="6"/>
        <v>set</v>
      </c>
      <c r="E207" s="8">
        <f t="shared" si="7"/>
        <v>9</v>
      </c>
      <c r="F207" s="8">
        <f>IF(B̳ases!E205="Yes",1,0)</f>
        <v>1</v>
      </c>
      <c r="G207" s="8">
        <f>IF(B̳ases!H205="Yes",1,0)</f>
        <v>1</v>
      </c>
      <c r="H207" s="8">
        <f>IF(B̳ases!J205="Yes",1,0)</f>
        <v>1</v>
      </c>
      <c r="I207" s="11">
        <f>B̳ases!M205</f>
        <v>58</v>
      </c>
      <c r="J207" s="11">
        <f>B̳ases!L205</f>
        <v>7</v>
      </c>
      <c r="K207" s="9" t="str">
        <f>B̳ases!G205</f>
        <v>Quarterly</v>
      </c>
      <c r="L207" s="11">
        <f>IFERROR(VALUE(B̳ases!I205),0)</f>
        <v>30</v>
      </c>
      <c r="M207" s="11">
        <f>B̳ases!K205</f>
        <v>20</v>
      </c>
      <c r="N207" s="6"/>
      <c r="O207" s="6"/>
      <c r="P207" s="6"/>
      <c r="Q207" s="6"/>
    </row>
    <row r="208" spans="1:17" ht="16.5" x14ac:dyDescent="0.3">
      <c r="A208" s="8">
        <f>B̳ases!A206</f>
        <v>3435</v>
      </c>
      <c r="B208" s="9" t="str">
        <f>B̳ases!C206</f>
        <v>Standard</v>
      </c>
      <c r="C208" s="10">
        <f>B̳ases!D206</f>
        <v>45552</v>
      </c>
      <c r="D208" s="9" t="str">
        <f t="shared" si="6"/>
        <v>set</v>
      </c>
      <c r="E208" s="8">
        <f t="shared" si="7"/>
        <v>9</v>
      </c>
      <c r="F208" s="8">
        <f>IF(B̳ases!E206="Yes",1,0)</f>
        <v>0</v>
      </c>
      <c r="G208" s="8">
        <f>IF(B̳ases!H206="Yes",1,0)</f>
        <v>0</v>
      </c>
      <c r="H208" s="8">
        <f>IF(B̳ases!J206="Yes",1,0)</f>
        <v>1</v>
      </c>
      <c r="I208" s="11">
        <f>B̳ases!M206</f>
        <v>20</v>
      </c>
      <c r="J208" s="11">
        <f>B̳ases!L206</f>
        <v>10</v>
      </c>
      <c r="K208" s="9" t="str">
        <f>B̳ases!G206</f>
        <v>Monthly</v>
      </c>
      <c r="L208" s="11">
        <f>IFERROR(VALUE(B̳ases!I206),0)</f>
        <v>0</v>
      </c>
      <c r="M208" s="11">
        <f>B̳ases!K206</f>
        <v>20</v>
      </c>
      <c r="N208" s="6"/>
      <c r="O208" s="6"/>
      <c r="P208" s="6"/>
      <c r="Q208" s="6"/>
    </row>
    <row r="209" spans="1:17" ht="16.5" x14ac:dyDescent="0.3">
      <c r="A209" s="8">
        <f>B̳ases!A207</f>
        <v>3436</v>
      </c>
      <c r="B209" s="9" t="str">
        <f>B̳ases!C207</f>
        <v>Core</v>
      </c>
      <c r="C209" s="10">
        <f>B̳ases!D207</f>
        <v>45553</v>
      </c>
      <c r="D209" s="9" t="str">
        <f t="shared" si="6"/>
        <v>set</v>
      </c>
      <c r="E209" s="8">
        <f t="shared" si="7"/>
        <v>9</v>
      </c>
      <c r="F209" s="8">
        <f>IF(B̳ases!E207="Yes",1,0)</f>
        <v>1</v>
      </c>
      <c r="G209" s="8">
        <f>IF(B̳ases!H207="Yes",1,0)</f>
        <v>0</v>
      </c>
      <c r="H209" s="8">
        <f>IF(B̳ases!J207="Yes",1,0)</f>
        <v>0</v>
      </c>
      <c r="I209" s="11">
        <f>B̳ases!M207</f>
        <v>5</v>
      </c>
      <c r="J209" s="11">
        <f>B̳ases!L207</f>
        <v>0</v>
      </c>
      <c r="K209" s="9" t="str">
        <f>B̳ases!G207</f>
        <v>Monthly</v>
      </c>
      <c r="L209" s="11">
        <f>IFERROR(VALUE(B̳ases!I207),0)</f>
        <v>0</v>
      </c>
      <c r="M209" s="11">
        <f>B̳ases!K207</f>
        <v>0</v>
      </c>
      <c r="N209" s="6"/>
      <c r="O209" s="6"/>
      <c r="P209" s="6"/>
      <c r="Q209" s="6"/>
    </row>
    <row r="210" spans="1:17" ht="16.5" x14ac:dyDescent="0.3">
      <c r="A210" s="8">
        <f>B̳ases!A208</f>
        <v>3437</v>
      </c>
      <c r="B210" s="9" t="str">
        <f>B̳ases!C208</f>
        <v>Ultimate</v>
      </c>
      <c r="C210" s="10">
        <f>B̳ases!D208</f>
        <v>45554</v>
      </c>
      <c r="D210" s="9" t="str">
        <f t="shared" si="6"/>
        <v>set</v>
      </c>
      <c r="E210" s="8">
        <f t="shared" si="7"/>
        <v>9</v>
      </c>
      <c r="F210" s="8">
        <f>IF(B̳ases!E208="Yes",1,0)</f>
        <v>0</v>
      </c>
      <c r="G210" s="8">
        <f>IF(B̳ases!H208="Yes",1,0)</f>
        <v>1</v>
      </c>
      <c r="H210" s="8">
        <f>IF(B̳ases!J208="Yes",1,0)</f>
        <v>1</v>
      </c>
      <c r="I210" s="11">
        <f>B̳ases!M208</f>
        <v>58</v>
      </c>
      <c r="J210" s="11">
        <f>B̳ases!L208</f>
        <v>7</v>
      </c>
      <c r="K210" s="9" t="str">
        <f>B̳ases!G208</f>
        <v>Quarterly</v>
      </c>
      <c r="L210" s="11">
        <f>IFERROR(VALUE(B̳ases!I208),0)</f>
        <v>30</v>
      </c>
      <c r="M210" s="11">
        <f>B̳ases!K208</f>
        <v>20</v>
      </c>
      <c r="N210" s="6"/>
      <c r="O210" s="6"/>
      <c r="P210" s="6"/>
      <c r="Q210" s="6"/>
    </row>
    <row r="211" spans="1:17" ht="16.5" x14ac:dyDescent="0.3">
      <c r="A211" s="8">
        <f>B̳ases!A209</f>
        <v>3438</v>
      </c>
      <c r="B211" s="9" t="str">
        <f>B̳ases!C209</f>
        <v>Standard</v>
      </c>
      <c r="C211" s="10">
        <f>B̳ases!D209</f>
        <v>45555</v>
      </c>
      <c r="D211" s="9" t="str">
        <f t="shared" si="6"/>
        <v>set</v>
      </c>
      <c r="E211" s="8">
        <f t="shared" si="7"/>
        <v>9</v>
      </c>
      <c r="F211" s="8">
        <f>IF(B̳ases!E209="Yes",1,0)</f>
        <v>1</v>
      </c>
      <c r="G211" s="8">
        <f>IF(B̳ases!H209="Yes",1,0)</f>
        <v>0</v>
      </c>
      <c r="H211" s="8">
        <f>IF(B̳ases!J209="Yes",1,0)</f>
        <v>1</v>
      </c>
      <c r="I211" s="11">
        <f>B̳ases!M209</f>
        <v>20</v>
      </c>
      <c r="J211" s="11">
        <f>B̳ases!L209</f>
        <v>10</v>
      </c>
      <c r="K211" s="9" t="str">
        <f>B̳ases!G209</f>
        <v>Annual</v>
      </c>
      <c r="L211" s="11">
        <f>IFERROR(VALUE(B̳ases!I209),0)</f>
        <v>0</v>
      </c>
      <c r="M211" s="11">
        <f>B̳ases!K209</f>
        <v>20</v>
      </c>
      <c r="N211" s="6"/>
      <c r="O211" s="6"/>
      <c r="P211" s="6"/>
      <c r="Q211" s="6"/>
    </row>
    <row r="212" spans="1:17" ht="16.5" x14ac:dyDescent="0.3">
      <c r="A212" s="8">
        <f>B̳ases!A210</f>
        <v>3439</v>
      </c>
      <c r="B212" s="9" t="str">
        <f>B̳ases!C210</f>
        <v>Core</v>
      </c>
      <c r="C212" s="10">
        <f>B̳ases!D210</f>
        <v>45556</v>
      </c>
      <c r="D212" s="9" t="str">
        <f t="shared" si="6"/>
        <v>set</v>
      </c>
      <c r="E212" s="8">
        <f t="shared" si="7"/>
        <v>9</v>
      </c>
      <c r="F212" s="8">
        <f>IF(B̳ases!E210="Yes",1,0)</f>
        <v>0</v>
      </c>
      <c r="G212" s="8">
        <f>IF(B̳ases!H210="Yes",1,0)</f>
        <v>0</v>
      </c>
      <c r="H212" s="8">
        <f>IF(B̳ases!J210="Yes",1,0)</f>
        <v>0</v>
      </c>
      <c r="I212" s="11">
        <f>B̳ases!M210</f>
        <v>4</v>
      </c>
      <c r="J212" s="11">
        <f>B̳ases!L210</f>
        <v>1</v>
      </c>
      <c r="K212" s="9" t="str">
        <f>B̳ases!G210</f>
        <v>Quarterly</v>
      </c>
      <c r="L212" s="11">
        <f>IFERROR(VALUE(B̳ases!I210),0)</f>
        <v>0</v>
      </c>
      <c r="M212" s="11">
        <f>B̳ases!K210</f>
        <v>0</v>
      </c>
      <c r="N212" s="6"/>
      <c r="O212" s="6"/>
      <c r="P212" s="6"/>
      <c r="Q212" s="6"/>
    </row>
    <row r="213" spans="1:17" ht="16.5" x14ac:dyDescent="0.3">
      <c r="A213" s="8">
        <f>B̳ases!A211</f>
        <v>3440</v>
      </c>
      <c r="B213" s="9" t="str">
        <f>B̳ases!C211</f>
        <v>Ultimate</v>
      </c>
      <c r="C213" s="10">
        <f>B̳ases!D211</f>
        <v>45557</v>
      </c>
      <c r="D213" s="9" t="str">
        <f t="shared" si="6"/>
        <v>set</v>
      </c>
      <c r="E213" s="8">
        <f t="shared" si="7"/>
        <v>9</v>
      </c>
      <c r="F213" s="8">
        <f>IF(B̳ases!E211="Yes",1,0)</f>
        <v>1</v>
      </c>
      <c r="G213" s="8">
        <f>IF(B̳ases!H211="Yes",1,0)</f>
        <v>1</v>
      </c>
      <c r="H213" s="8">
        <f>IF(B̳ases!J211="Yes",1,0)</f>
        <v>1</v>
      </c>
      <c r="I213" s="11">
        <f>B̳ases!M211</f>
        <v>50</v>
      </c>
      <c r="J213" s="11">
        <f>B̳ases!L211</f>
        <v>15</v>
      </c>
      <c r="K213" s="9" t="str">
        <f>B̳ases!G211</f>
        <v>Monthly</v>
      </c>
      <c r="L213" s="11">
        <f>IFERROR(VALUE(B̳ases!I211),0)</f>
        <v>30</v>
      </c>
      <c r="M213" s="11">
        <f>B̳ases!K211</f>
        <v>20</v>
      </c>
      <c r="N213" s="6"/>
      <c r="O213" s="6"/>
      <c r="P213" s="6"/>
      <c r="Q213" s="6"/>
    </row>
    <row r="214" spans="1:17" ht="16.5" x14ac:dyDescent="0.3">
      <c r="A214" s="8">
        <f>B̳ases!A212</f>
        <v>3441</v>
      </c>
      <c r="B214" s="9" t="str">
        <f>B̳ases!C212</f>
        <v>Standard</v>
      </c>
      <c r="C214" s="10">
        <f>B̳ases!D212</f>
        <v>45558</v>
      </c>
      <c r="D214" s="9" t="str">
        <f t="shared" si="6"/>
        <v>set</v>
      </c>
      <c r="E214" s="8">
        <f t="shared" si="7"/>
        <v>9</v>
      </c>
      <c r="F214" s="8">
        <f>IF(B̳ases!E212="Yes",1,0)</f>
        <v>0</v>
      </c>
      <c r="G214" s="8">
        <f>IF(B̳ases!H212="Yes",1,0)</f>
        <v>0</v>
      </c>
      <c r="H214" s="8">
        <f>IF(B̳ases!J212="Yes",1,0)</f>
        <v>1</v>
      </c>
      <c r="I214" s="11">
        <f>B̳ases!M212</f>
        <v>25</v>
      </c>
      <c r="J214" s="11">
        <f>B̳ases!L212</f>
        <v>5</v>
      </c>
      <c r="K214" s="9" t="str">
        <f>B̳ases!G212</f>
        <v>Monthly</v>
      </c>
      <c r="L214" s="11">
        <f>IFERROR(VALUE(B̳ases!I212),0)</f>
        <v>0</v>
      </c>
      <c r="M214" s="11">
        <f>B̳ases!K212</f>
        <v>20</v>
      </c>
      <c r="N214" s="6"/>
      <c r="O214" s="6"/>
      <c r="P214" s="6"/>
      <c r="Q214" s="6"/>
    </row>
    <row r="215" spans="1:17" ht="16.5" x14ac:dyDescent="0.3">
      <c r="A215" s="8">
        <f>B̳ases!A213</f>
        <v>3442</v>
      </c>
      <c r="B215" s="9" t="str">
        <f>B̳ases!C213</f>
        <v>Core</v>
      </c>
      <c r="C215" s="10">
        <f>B̳ases!D213</f>
        <v>45559</v>
      </c>
      <c r="D215" s="9" t="str">
        <f t="shared" si="6"/>
        <v>set</v>
      </c>
      <c r="E215" s="8">
        <f t="shared" si="7"/>
        <v>9</v>
      </c>
      <c r="F215" s="8">
        <f>IF(B̳ases!E213="Yes",1,0)</f>
        <v>1</v>
      </c>
      <c r="G215" s="8">
        <f>IF(B̳ases!H213="Yes",1,0)</f>
        <v>0</v>
      </c>
      <c r="H215" s="8">
        <f>IF(B̳ases!J213="Yes",1,0)</f>
        <v>0</v>
      </c>
      <c r="I215" s="11">
        <f>B̳ases!M213</f>
        <v>5</v>
      </c>
      <c r="J215" s="11">
        <f>B̳ases!L213</f>
        <v>0</v>
      </c>
      <c r="K215" s="9" t="str">
        <f>B̳ases!G213</f>
        <v>Annual</v>
      </c>
      <c r="L215" s="11">
        <f>IFERROR(VALUE(B̳ases!I213),0)</f>
        <v>0</v>
      </c>
      <c r="M215" s="11">
        <f>B̳ases!K213</f>
        <v>0</v>
      </c>
      <c r="N215" s="6"/>
      <c r="O215" s="6"/>
      <c r="P215" s="6"/>
      <c r="Q215" s="6"/>
    </row>
    <row r="216" spans="1:17" ht="16.5" x14ac:dyDescent="0.3">
      <c r="A216" s="8">
        <f>B̳ases!A214</f>
        <v>3443</v>
      </c>
      <c r="B216" s="9" t="str">
        <f>B̳ases!C214</f>
        <v>Ultimate</v>
      </c>
      <c r="C216" s="10">
        <f>B̳ases!D214</f>
        <v>45560</v>
      </c>
      <c r="D216" s="9" t="str">
        <f t="shared" si="6"/>
        <v>set</v>
      </c>
      <c r="E216" s="8">
        <f t="shared" si="7"/>
        <v>9</v>
      </c>
      <c r="F216" s="8">
        <f>IF(B̳ases!E214="Yes",1,0)</f>
        <v>0</v>
      </c>
      <c r="G216" s="8">
        <f>IF(B̳ases!H214="Yes",1,0)</f>
        <v>1</v>
      </c>
      <c r="H216" s="8">
        <f>IF(B̳ases!J214="Yes",1,0)</f>
        <v>1</v>
      </c>
      <c r="I216" s="11">
        <f>B̳ases!M214</f>
        <v>45</v>
      </c>
      <c r="J216" s="11">
        <f>B̳ases!L214</f>
        <v>20</v>
      </c>
      <c r="K216" s="9" t="str">
        <f>B̳ases!G214</f>
        <v>Quarterly</v>
      </c>
      <c r="L216" s="11">
        <f>IFERROR(VALUE(B̳ases!I214),0)</f>
        <v>30</v>
      </c>
      <c r="M216" s="11">
        <f>B̳ases!K214</f>
        <v>20</v>
      </c>
      <c r="N216" s="6"/>
      <c r="O216" s="6"/>
      <c r="P216" s="6"/>
      <c r="Q216" s="6"/>
    </row>
    <row r="217" spans="1:17" ht="16.5" x14ac:dyDescent="0.3">
      <c r="A217" s="8">
        <f>B̳ases!A215</f>
        <v>3444</v>
      </c>
      <c r="B217" s="9" t="str">
        <f>B̳ases!C215</f>
        <v>Standard</v>
      </c>
      <c r="C217" s="10">
        <f>B̳ases!D215</f>
        <v>45561</v>
      </c>
      <c r="D217" s="9" t="str">
        <f t="shared" si="6"/>
        <v>set</v>
      </c>
      <c r="E217" s="8">
        <f t="shared" si="7"/>
        <v>9</v>
      </c>
      <c r="F217" s="8">
        <f>IF(B̳ases!E215="Yes",1,0)</f>
        <v>1</v>
      </c>
      <c r="G217" s="8">
        <f>IF(B̳ases!H215="Yes",1,0)</f>
        <v>0</v>
      </c>
      <c r="H217" s="8">
        <f>IF(B̳ases!J215="Yes",1,0)</f>
        <v>1</v>
      </c>
      <c r="I217" s="11">
        <f>B̳ases!M215</f>
        <v>18</v>
      </c>
      <c r="J217" s="11">
        <f>B̳ases!L215</f>
        <v>12</v>
      </c>
      <c r="K217" s="9" t="str">
        <f>B̳ases!G215</f>
        <v>Quarterly</v>
      </c>
      <c r="L217" s="11">
        <f>IFERROR(VALUE(B̳ases!I215),0)</f>
        <v>0</v>
      </c>
      <c r="M217" s="11">
        <f>B̳ases!K215</f>
        <v>20</v>
      </c>
      <c r="N217" s="6"/>
      <c r="O217" s="6"/>
      <c r="P217" s="6"/>
      <c r="Q217" s="6"/>
    </row>
    <row r="218" spans="1:17" ht="16.5" x14ac:dyDescent="0.3">
      <c r="A218" s="8">
        <f>B̳ases!A216</f>
        <v>3445</v>
      </c>
      <c r="B218" s="9" t="str">
        <f>B̳ases!C216</f>
        <v>Core</v>
      </c>
      <c r="C218" s="10">
        <f>B̳ases!D216</f>
        <v>45562</v>
      </c>
      <c r="D218" s="9" t="str">
        <f t="shared" si="6"/>
        <v>set</v>
      </c>
      <c r="E218" s="8">
        <f t="shared" si="7"/>
        <v>9</v>
      </c>
      <c r="F218" s="8">
        <f>IF(B̳ases!E216="Yes",1,0)</f>
        <v>0</v>
      </c>
      <c r="G218" s="8">
        <f>IF(B̳ases!H216="Yes",1,0)</f>
        <v>0</v>
      </c>
      <c r="H218" s="8">
        <f>IF(B̳ases!J216="Yes",1,0)</f>
        <v>0</v>
      </c>
      <c r="I218" s="11">
        <f>B̳ases!M216</f>
        <v>3</v>
      </c>
      <c r="J218" s="11">
        <f>B̳ases!L216</f>
        <v>2</v>
      </c>
      <c r="K218" s="9" t="str">
        <f>B̳ases!G216</f>
        <v>Monthly</v>
      </c>
      <c r="L218" s="11">
        <f>IFERROR(VALUE(B̳ases!I216),0)</f>
        <v>0</v>
      </c>
      <c r="M218" s="11">
        <f>B̳ases!K216</f>
        <v>0</v>
      </c>
      <c r="N218" s="6"/>
      <c r="O218" s="6"/>
      <c r="P218" s="6"/>
      <c r="Q218" s="6"/>
    </row>
    <row r="219" spans="1:17" ht="16.5" x14ac:dyDescent="0.3">
      <c r="A219" s="8">
        <f>B̳ases!A217</f>
        <v>3446</v>
      </c>
      <c r="B219" s="9" t="str">
        <f>B̳ases!C217</f>
        <v>Ultimate</v>
      </c>
      <c r="C219" s="10">
        <f>B̳ases!D217</f>
        <v>45563</v>
      </c>
      <c r="D219" s="9" t="str">
        <f t="shared" si="6"/>
        <v>set</v>
      </c>
      <c r="E219" s="8">
        <f t="shared" si="7"/>
        <v>9</v>
      </c>
      <c r="F219" s="8">
        <f>IF(B̳ases!E217="Yes",1,0)</f>
        <v>1</v>
      </c>
      <c r="G219" s="8">
        <f>IF(B̳ases!H217="Yes",1,0)</f>
        <v>1</v>
      </c>
      <c r="H219" s="8">
        <f>IF(B̳ases!J217="Yes",1,0)</f>
        <v>1</v>
      </c>
      <c r="I219" s="11">
        <f>B̳ases!M217</f>
        <v>60</v>
      </c>
      <c r="J219" s="11">
        <f>B̳ases!L217</f>
        <v>5</v>
      </c>
      <c r="K219" s="9" t="str">
        <f>B̳ases!G217</f>
        <v>Annual</v>
      </c>
      <c r="L219" s="11">
        <f>IFERROR(VALUE(B̳ases!I217),0)</f>
        <v>30</v>
      </c>
      <c r="M219" s="11">
        <f>B̳ases!K217</f>
        <v>20</v>
      </c>
      <c r="N219" s="6"/>
      <c r="O219" s="6"/>
      <c r="P219" s="6"/>
      <c r="Q219" s="6"/>
    </row>
    <row r="220" spans="1:17" ht="16.5" x14ac:dyDescent="0.3">
      <c r="A220" s="8">
        <f>B̳ases!A218</f>
        <v>3447</v>
      </c>
      <c r="B220" s="9" t="str">
        <f>B̳ases!C218</f>
        <v>Standard</v>
      </c>
      <c r="C220" s="10">
        <f>B̳ases!D218</f>
        <v>45564</v>
      </c>
      <c r="D220" s="9" t="str">
        <f t="shared" si="6"/>
        <v>set</v>
      </c>
      <c r="E220" s="8">
        <f t="shared" si="7"/>
        <v>9</v>
      </c>
      <c r="F220" s="8">
        <f>IF(B̳ases!E218="Yes",1,0)</f>
        <v>0</v>
      </c>
      <c r="G220" s="8">
        <f>IF(B̳ases!H218="Yes",1,0)</f>
        <v>0</v>
      </c>
      <c r="H220" s="8">
        <f>IF(B̳ases!J218="Yes",1,0)</f>
        <v>1</v>
      </c>
      <c r="I220" s="11">
        <f>B̳ases!M218</f>
        <v>20</v>
      </c>
      <c r="J220" s="11">
        <f>B̳ases!L218</f>
        <v>10</v>
      </c>
      <c r="K220" s="9" t="str">
        <f>B̳ases!G218</f>
        <v>Monthly</v>
      </c>
      <c r="L220" s="11">
        <f>IFERROR(VALUE(B̳ases!I218),0)</f>
        <v>0</v>
      </c>
      <c r="M220" s="11">
        <f>B̳ases!K218</f>
        <v>20</v>
      </c>
      <c r="N220" s="6"/>
      <c r="O220" s="6"/>
      <c r="P220" s="6"/>
      <c r="Q220" s="6"/>
    </row>
    <row r="221" spans="1:17" ht="16.5" x14ac:dyDescent="0.3">
      <c r="A221" s="8">
        <f>B̳ases!A219</f>
        <v>3448</v>
      </c>
      <c r="B221" s="9" t="str">
        <f>B̳ases!C219</f>
        <v>Core</v>
      </c>
      <c r="C221" s="10">
        <f>B̳ases!D219</f>
        <v>45565</v>
      </c>
      <c r="D221" s="9" t="str">
        <f t="shared" si="6"/>
        <v>set</v>
      </c>
      <c r="E221" s="8">
        <f t="shared" si="7"/>
        <v>9</v>
      </c>
      <c r="F221" s="8">
        <f>IF(B̳ases!E219="Yes",1,0)</f>
        <v>1</v>
      </c>
      <c r="G221" s="8">
        <f>IF(B̳ases!H219="Yes",1,0)</f>
        <v>0</v>
      </c>
      <c r="H221" s="8">
        <f>IF(B̳ases!J219="Yes",1,0)</f>
        <v>0</v>
      </c>
      <c r="I221" s="11">
        <f>B̳ases!M219</f>
        <v>5</v>
      </c>
      <c r="J221" s="11">
        <f>B̳ases!L219</f>
        <v>0</v>
      </c>
      <c r="K221" s="9" t="str">
        <f>B̳ases!G219</f>
        <v>Quarterly</v>
      </c>
      <c r="L221" s="11">
        <f>IFERROR(VALUE(B̳ases!I219),0)</f>
        <v>0</v>
      </c>
      <c r="M221" s="11">
        <f>B̳ases!K219</f>
        <v>0</v>
      </c>
      <c r="N221" s="6"/>
      <c r="O221" s="6"/>
      <c r="P221" s="6"/>
      <c r="Q221" s="6"/>
    </row>
    <row r="222" spans="1:17" ht="16.5" x14ac:dyDescent="0.3">
      <c r="A222" s="8">
        <f>B̳ases!A220</f>
        <v>3449</v>
      </c>
      <c r="B222" s="9" t="str">
        <f>B̳ases!C220</f>
        <v>Ultimate</v>
      </c>
      <c r="C222" s="10">
        <f>B̳ases!D220</f>
        <v>45566</v>
      </c>
      <c r="D222" s="9" t="str">
        <f t="shared" si="6"/>
        <v>out</v>
      </c>
      <c r="E222" s="8">
        <f t="shared" si="7"/>
        <v>10</v>
      </c>
      <c r="F222" s="8">
        <f>IF(B̳ases!E220="Yes",1,0)</f>
        <v>0</v>
      </c>
      <c r="G222" s="8">
        <f>IF(B̳ases!H220="Yes",1,0)</f>
        <v>1</v>
      </c>
      <c r="H222" s="8">
        <f>IF(B̳ases!J220="Yes",1,0)</f>
        <v>1</v>
      </c>
      <c r="I222" s="11">
        <f>B̳ases!M220</f>
        <v>62</v>
      </c>
      <c r="J222" s="11">
        <f>B̳ases!L220</f>
        <v>3</v>
      </c>
      <c r="K222" s="9" t="str">
        <f>B̳ases!G220</f>
        <v>Monthly</v>
      </c>
      <c r="L222" s="11">
        <f>IFERROR(VALUE(B̳ases!I220),0)</f>
        <v>30</v>
      </c>
      <c r="M222" s="11">
        <f>B̳ases!K220</f>
        <v>20</v>
      </c>
      <c r="N222" s="6"/>
      <c r="O222" s="6"/>
      <c r="P222" s="6"/>
      <c r="Q222" s="6"/>
    </row>
    <row r="223" spans="1:17" ht="16.5" x14ac:dyDescent="0.3">
      <c r="A223" s="8">
        <f>B̳ases!A221</f>
        <v>3450</v>
      </c>
      <c r="B223" s="9" t="str">
        <f>B̳ases!C221</f>
        <v>Standard</v>
      </c>
      <c r="C223" s="10">
        <f>B̳ases!D221</f>
        <v>45567</v>
      </c>
      <c r="D223" s="9" t="str">
        <f t="shared" si="6"/>
        <v>out</v>
      </c>
      <c r="E223" s="8">
        <f t="shared" si="7"/>
        <v>10</v>
      </c>
      <c r="F223" s="8">
        <f>IF(B̳ases!E221="Yes",1,0)</f>
        <v>1</v>
      </c>
      <c r="G223" s="8">
        <f>IF(B̳ases!H221="Yes",1,0)</f>
        <v>0</v>
      </c>
      <c r="H223" s="8">
        <f>IF(B̳ases!J221="Yes",1,0)</f>
        <v>1</v>
      </c>
      <c r="I223" s="11">
        <f>B̳ases!M221</f>
        <v>15</v>
      </c>
      <c r="J223" s="11">
        <f>B̳ases!L221</f>
        <v>15</v>
      </c>
      <c r="K223" s="9" t="str">
        <f>B̳ases!G221</f>
        <v>Annual</v>
      </c>
      <c r="L223" s="11">
        <f>IFERROR(VALUE(B̳ases!I221),0)</f>
        <v>0</v>
      </c>
      <c r="M223" s="11">
        <f>B̳ases!K221</f>
        <v>20</v>
      </c>
      <c r="N223" s="6"/>
      <c r="O223" s="6"/>
      <c r="P223" s="6"/>
      <c r="Q223" s="6"/>
    </row>
    <row r="224" spans="1:17" ht="16.5" x14ac:dyDescent="0.3">
      <c r="A224" s="8">
        <f>B̳ases!A222</f>
        <v>3451</v>
      </c>
      <c r="B224" s="9" t="str">
        <f>B̳ases!C222</f>
        <v>Core</v>
      </c>
      <c r="C224" s="10">
        <f>B̳ases!D222</f>
        <v>45568</v>
      </c>
      <c r="D224" s="9" t="str">
        <f t="shared" si="6"/>
        <v>out</v>
      </c>
      <c r="E224" s="8">
        <f t="shared" si="7"/>
        <v>10</v>
      </c>
      <c r="F224" s="8">
        <f>IF(B̳ases!E222="Yes",1,0)</f>
        <v>0</v>
      </c>
      <c r="G224" s="8">
        <f>IF(B̳ases!H222="Yes",1,0)</f>
        <v>0</v>
      </c>
      <c r="H224" s="8">
        <f>IF(B̳ases!J222="Yes",1,0)</f>
        <v>0</v>
      </c>
      <c r="I224" s="11">
        <f>B̳ases!M222</f>
        <v>4</v>
      </c>
      <c r="J224" s="11">
        <f>B̳ases!L222</f>
        <v>1</v>
      </c>
      <c r="K224" s="9" t="str">
        <f>B̳ases!G222</f>
        <v>Monthly</v>
      </c>
      <c r="L224" s="11">
        <f>IFERROR(VALUE(B̳ases!I222),0)</f>
        <v>0</v>
      </c>
      <c r="M224" s="11">
        <f>B̳ases!K222</f>
        <v>0</v>
      </c>
      <c r="N224" s="6"/>
      <c r="O224" s="6"/>
      <c r="P224" s="6"/>
      <c r="Q224" s="6"/>
    </row>
    <row r="225" spans="1:17" ht="16.5" x14ac:dyDescent="0.3">
      <c r="A225" s="8">
        <f>B̳ases!A223</f>
        <v>3452</v>
      </c>
      <c r="B225" s="9" t="str">
        <f>B̳ases!C223</f>
        <v>Ultimate</v>
      </c>
      <c r="C225" s="10">
        <f>B̳ases!D223</f>
        <v>45569</v>
      </c>
      <c r="D225" s="9" t="str">
        <f t="shared" si="6"/>
        <v>out</v>
      </c>
      <c r="E225" s="8">
        <f t="shared" si="7"/>
        <v>10</v>
      </c>
      <c r="F225" s="8">
        <f>IF(B̳ases!E223="Yes",1,0)</f>
        <v>1</v>
      </c>
      <c r="G225" s="8">
        <f>IF(B̳ases!H223="Yes",1,0)</f>
        <v>1</v>
      </c>
      <c r="H225" s="8">
        <f>IF(B̳ases!J223="Yes",1,0)</f>
        <v>1</v>
      </c>
      <c r="I225" s="11">
        <f>B̳ases!M223</f>
        <v>58</v>
      </c>
      <c r="J225" s="11">
        <f>B̳ases!L223</f>
        <v>7</v>
      </c>
      <c r="K225" s="9" t="str">
        <f>B̳ases!G223</f>
        <v>Quarterly</v>
      </c>
      <c r="L225" s="11">
        <f>IFERROR(VALUE(B̳ases!I223),0)</f>
        <v>30</v>
      </c>
      <c r="M225" s="11">
        <f>B̳ases!K223</f>
        <v>20</v>
      </c>
      <c r="N225" s="6"/>
      <c r="O225" s="6"/>
      <c r="P225" s="6"/>
      <c r="Q225" s="6"/>
    </row>
    <row r="226" spans="1:17" ht="16.5" x14ac:dyDescent="0.3">
      <c r="A226" s="8">
        <f>B̳ases!A224</f>
        <v>3453</v>
      </c>
      <c r="B226" s="9" t="str">
        <f>B̳ases!C224</f>
        <v>Standard</v>
      </c>
      <c r="C226" s="10">
        <f>B̳ases!D224</f>
        <v>45570</v>
      </c>
      <c r="D226" s="9" t="str">
        <f t="shared" si="6"/>
        <v>out</v>
      </c>
      <c r="E226" s="8">
        <f t="shared" si="7"/>
        <v>10</v>
      </c>
      <c r="F226" s="8">
        <f>IF(B̳ases!E224="Yes",1,0)</f>
        <v>0</v>
      </c>
      <c r="G226" s="8">
        <f>IF(B̳ases!H224="Yes",1,0)</f>
        <v>0</v>
      </c>
      <c r="H226" s="8">
        <f>IF(B̳ases!J224="Yes",1,0)</f>
        <v>1</v>
      </c>
      <c r="I226" s="11">
        <f>B̳ases!M224</f>
        <v>20</v>
      </c>
      <c r="J226" s="11">
        <f>B̳ases!L224</f>
        <v>10</v>
      </c>
      <c r="K226" s="9" t="str">
        <f>B̳ases!G224</f>
        <v>Monthly</v>
      </c>
      <c r="L226" s="11">
        <f>IFERROR(VALUE(B̳ases!I224),0)</f>
        <v>0</v>
      </c>
      <c r="M226" s="11">
        <f>B̳ases!K224</f>
        <v>20</v>
      </c>
      <c r="N226" s="6"/>
      <c r="O226" s="6"/>
      <c r="P226" s="6"/>
      <c r="Q226" s="6"/>
    </row>
    <row r="227" spans="1:17" ht="16.5" x14ac:dyDescent="0.3">
      <c r="A227" s="8">
        <f>B̳ases!A225</f>
        <v>3454</v>
      </c>
      <c r="B227" s="9" t="str">
        <f>B̳ases!C225</f>
        <v>Core</v>
      </c>
      <c r="C227" s="10">
        <f>B̳ases!D225</f>
        <v>45571</v>
      </c>
      <c r="D227" s="9" t="str">
        <f t="shared" si="6"/>
        <v>out</v>
      </c>
      <c r="E227" s="8">
        <f t="shared" si="7"/>
        <v>10</v>
      </c>
      <c r="F227" s="8">
        <f>IF(B̳ases!E225="Yes",1,0)</f>
        <v>1</v>
      </c>
      <c r="G227" s="8">
        <f>IF(B̳ases!H225="Yes",1,0)</f>
        <v>0</v>
      </c>
      <c r="H227" s="8">
        <f>IF(B̳ases!J225="Yes",1,0)</f>
        <v>0</v>
      </c>
      <c r="I227" s="11">
        <f>B̳ases!M225</f>
        <v>5</v>
      </c>
      <c r="J227" s="11">
        <f>B̳ases!L225</f>
        <v>0</v>
      </c>
      <c r="K227" s="9" t="str">
        <f>B̳ases!G225</f>
        <v>Annual</v>
      </c>
      <c r="L227" s="11">
        <f>IFERROR(VALUE(B̳ases!I225),0)</f>
        <v>0</v>
      </c>
      <c r="M227" s="11">
        <f>B̳ases!K225</f>
        <v>0</v>
      </c>
      <c r="N227" s="6"/>
      <c r="O227" s="6"/>
      <c r="P227" s="6"/>
      <c r="Q227" s="6"/>
    </row>
    <row r="228" spans="1:17" ht="16.5" x14ac:dyDescent="0.3">
      <c r="A228" s="8">
        <f>B̳ases!A226</f>
        <v>3455</v>
      </c>
      <c r="B228" s="9" t="str">
        <f>B̳ases!C226</f>
        <v>Ultimate</v>
      </c>
      <c r="C228" s="10">
        <f>B̳ases!D226</f>
        <v>45572</v>
      </c>
      <c r="D228" s="9" t="str">
        <f t="shared" si="6"/>
        <v>out</v>
      </c>
      <c r="E228" s="8">
        <f t="shared" si="7"/>
        <v>10</v>
      </c>
      <c r="F228" s="8">
        <f>IF(B̳ases!E226="Yes",1,0)</f>
        <v>0</v>
      </c>
      <c r="G228" s="8">
        <f>IF(B̳ases!H226="Yes",1,0)</f>
        <v>1</v>
      </c>
      <c r="H228" s="8">
        <f>IF(B̳ases!J226="Yes",1,0)</f>
        <v>1</v>
      </c>
      <c r="I228" s="11">
        <f>B̳ases!M226</f>
        <v>45</v>
      </c>
      <c r="J228" s="11">
        <f>B̳ases!L226</f>
        <v>20</v>
      </c>
      <c r="K228" s="9" t="str">
        <f>B̳ases!G226</f>
        <v>Monthly</v>
      </c>
      <c r="L228" s="11">
        <f>IFERROR(VALUE(B̳ases!I226),0)</f>
        <v>30</v>
      </c>
      <c r="M228" s="11">
        <f>B̳ases!K226</f>
        <v>20</v>
      </c>
      <c r="N228" s="6"/>
      <c r="O228" s="6"/>
      <c r="P228" s="6"/>
      <c r="Q228" s="6"/>
    </row>
    <row r="229" spans="1:17" ht="16.5" x14ac:dyDescent="0.3">
      <c r="A229" s="8">
        <f>B̳ases!A227</f>
        <v>3456</v>
      </c>
      <c r="B229" s="9" t="str">
        <f>B̳ases!C227</f>
        <v>Standard</v>
      </c>
      <c r="C229" s="10">
        <f>B̳ases!D227</f>
        <v>45573</v>
      </c>
      <c r="D229" s="9" t="str">
        <f t="shared" si="6"/>
        <v>out</v>
      </c>
      <c r="E229" s="8">
        <f t="shared" si="7"/>
        <v>10</v>
      </c>
      <c r="F229" s="8">
        <f>IF(B̳ases!E227="Yes",1,0)</f>
        <v>1</v>
      </c>
      <c r="G229" s="8">
        <f>IF(B̳ases!H227="Yes",1,0)</f>
        <v>0</v>
      </c>
      <c r="H229" s="8">
        <f>IF(B̳ases!J227="Yes",1,0)</f>
        <v>1</v>
      </c>
      <c r="I229" s="11">
        <f>B̳ases!M227</f>
        <v>15</v>
      </c>
      <c r="J229" s="11">
        <f>B̳ases!L227</f>
        <v>15</v>
      </c>
      <c r="K229" s="9" t="str">
        <f>B̳ases!G227</f>
        <v>Quarterly</v>
      </c>
      <c r="L229" s="11">
        <f>IFERROR(VALUE(B̳ases!I227),0)</f>
        <v>0</v>
      </c>
      <c r="M229" s="11">
        <f>B̳ases!K227</f>
        <v>20</v>
      </c>
      <c r="N229" s="6"/>
      <c r="O229" s="6"/>
      <c r="P229" s="6"/>
      <c r="Q229" s="6"/>
    </row>
    <row r="230" spans="1:17" ht="16.5" x14ac:dyDescent="0.3">
      <c r="A230" s="8">
        <f>B̳ases!A228</f>
        <v>3457</v>
      </c>
      <c r="B230" s="9" t="str">
        <f>B̳ases!C228</f>
        <v>Core</v>
      </c>
      <c r="C230" s="10">
        <f>B̳ases!D228</f>
        <v>45574</v>
      </c>
      <c r="D230" s="9" t="str">
        <f t="shared" si="6"/>
        <v>out</v>
      </c>
      <c r="E230" s="8">
        <f t="shared" si="7"/>
        <v>10</v>
      </c>
      <c r="F230" s="8">
        <f>IF(B̳ases!E228="Yes",1,0)</f>
        <v>0</v>
      </c>
      <c r="G230" s="8">
        <f>IF(B̳ases!H228="Yes",1,0)</f>
        <v>0</v>
      </c>
      <c r="H230" s="8">
        <f>IF(B̳ases!J228="Yes",1,0)</f>
        <v>0</v>
      </c>
      <c r="I230" s="11">
        <f>B̳ases!M228</f>
        <v>4</v>
      </c>
      <c r="J230" s="11">
        <f>B̳ases!L228</f>
        <v>1</v>
      </c>
      <c r="K230" s="9" t="str">
        <f>B̳ases!G228</f>
        <v>Monthly</v>
      </c>
      <c r="L230" s="11">
        <f>IFERROR(VALUE(B̳ases!I228),0)</f>
        <v>0</v>
      </c>
      <c r="M230" s="11">
        <f>B̳ases!K228</f>
        <v>0</v>
      </c>
      <c r="N230" s="6"/>
      <c r="O230" s="6"/>
      <c r="P230" s="6"/>
      <c r="Q230" s="6"/>
    </row>
    <row r="231" spans="1:17" ht="16.5" x14ac:dyDescent="0.3">
      <c r="A231" s="8">
        <f>B̳ases!A229</f>
        <v>3458</v>
      </c>
      <c r="B231" s="9" t="str">
        <f>B̳ases!C229</f>
        <v>Ultimate</v>
      </c>
      <c r="C231" s="10">
        <f>B̳ases!D229</f>
        <v>45575</v>
      </c>
      <c r="D231" s="9" t="str">
        <f t="shared" si="6"/>
        <v>out</v>
      </c>
      <c r="E231" s="8">
        <f t="shared" si="7"/>
        <v>10</v>
      </c>
      <c r="F231" s="8">
        <f>IF(B̳ases!E229="Yes",1,0)</f>
        <v>1</v>
      </c>
      <c r="G231" s="8">
        <f>IF(B̳ases!H229="Yes",1,0)</f>
        <v>1</v>
      </c>
      <c r="H231" s="8">
        <f>IF(B̳ases!J229="Yes",1,0)</f>
        <v>1</v>
      </c>
      <c r="I231" s="11">
        <f>B̳ases!M229</f>
        <v>62</v>
      </c>
      <c r="J231" s="11">
        <f>B̳ases!L229</f>
        <v>3</v>
      </c>
      <c r="K231" s="9" t="str">
        <f>B̳ases!G229</f>
        <v>Annual</v>
      </c>
      <c r="L231" s="11">
        <f>IFERROR(VALUE(B̳ases!I229),0)</f>
        <v>30</v>
      </c>
      <c r="M231" s="11">
        <f>B̳ases!K229</f>
        <v>20</v>
      </c>
      <c r="N231" s="6"/>
      <c r="O231" s="6"/>
      <c r="P231" s="6"/>
      <c r="Q231" s="6"/>
    </row>
    <row r="232" spans="1:17" ht="16.5" x14ac:dyDescent="0.3">
      <c r="A232" s="8">
        <f>B̳ases!A230</f>
        <v>3459</v>
      </c>
      <c r="B232" s="9" t="str">
        <f>B̳ases!C230</f>
        <v>Standard</v>
      </c>
      <c r="C232" s="10">
        <f>B̳ases!D230</f>
        <v>45576</v>
      </c>
      <c r="D232" s="9" t="str">
        <f t="shared" si="6"/>
        <v>out</v>
      </c>
      <c r="E232" s="8">
        <f t="shared" si="7"/>
        <v>10</v>
      </c>
      <c r="F232" s="8">
        <f>IF(B̳ases!E230="Yes",1,0)</f>
        <v>0</v>
      </c>
      <c r="G232" s="8">
        <f>IF(B̳ases!H230="Yes",1,0)</f>
        <v>0</v>
      </c>
      <c r="H232" s="8">
        <f>IF(B̳ases!J230="Yes",1,0)</f>
        <v>1</v>
      </c>
      <c r="I232" s="11">
        <f>B̳ases!M230</f>
        <v>20</v>
      </c>
      <c r="J232" s="11">
        <f>B̳ases!L230</f>
        <v>10</v>
      </c>
      <c r="K232" s="9" t="str">
        <f>B̳ases!G230</f>
        <v>Monthly</v>
      </c>
      <c r="L232" s="11">
        <f>IFERROR(VALUE(B̳ases!I230),0)</f>
        <v>0</v>
      </c>
      <c r="M232" s="11">
        <f>B̳ases!K230</f>
        <v>20</v>
      </c>
      <c r="N232" s="6"/>
      <c r="O232" s="6"/>
      <c r="P232" s="6"/>
      <c r="Q232" s="6"/>
    </row>
    <row r="233" spans="1:17" ht="16.5" x14ac:dyDescent="0.3">
      <c r="A233" s="8">
        <f>B̳ases!A231</f>
        <v>3460</v>
      </c>
      <c r="B233" s="9" t="str">
        <f>B̳ases!C231</f>
        <v>Core</v>
      </c>
      <c r="C233" s="10">
        <f>B̳ases!D231</f>
        <v>45577</v>
      </c>
      <c r="D233" s="9" t="str">
        <f t="shared" si="6"/>
        <v>out</v>
      </c>
      <c r="E233" s="8">
        <f t="shared" si="7"/>
        <v>10</v>
      </c>
      <c r="F233" s="8">
        <f>IF(B̳ases!E231="Yes",1,0)</f>
        <v>1</v>
      </c>
      <c r="G233" s="8">
        <f>IF(B̳ases!H231="Yes",1,0)</f>
        <v>0</v>
      </c>
      <c r="H233" s="8">
        <f>IF(B̳ases!J231="Yes",1,0)</f>
        <v>0</v>
      </c>
      <c r="I233" s="11">
        <f>B̳ases!M231</f>
        <v>5</v>
      </c>
      <c r="J233" s="11">
        <f>B̳ases!L231</f>
        <v>0</v>
      </c>
      <c r="K233" s="9" t="str">
        <f>B̳ases!G231</f>
        <v>Quarterly</v>
      </c>
      <c r="L233" s="11">
        <f>IFERROR(VALUE(B̳ases!I231),0)</f>
        <v>0</v>
      </c>
      <c r="M233" s="11">
        <f>B̳ases!K231</f>
        <v>0</v>
      </c>
      <c r="N233" s="6"/>
      <c r="O233" s="6"/>
      <c r="P233" s="6"/>
      <c r="Q233" s="6"/>
    </row>
    <row r="234" spans="1:17" ht="16.5" x14ac:dyDescent="0.3">
      <c r="A234" s="8">
        <f>B̳ases!A232</f>
        <v>3461</v>
      </c>
      <c r="B234" s="9" t="str">
        <f>B̳ases!C232</f>
        <v>Ultimate</v>
      </c>
      <c r="C234" s="10">
        <f>B̳ases!D232</f>
        <v>45578</v>
      </c>
      <c r="D234" s="9" t="str">
        <f t="shared" si="6"/>
        <v>out</v>
      </c>
      <c r="E234" s="8">
        <f t="shared" si="7"/>
        <v>10</v>
      </c>
      <c r="F234" s="8">
        <f>IF(B̳ases!E232="Yes",1,0)</f>
        <v>0</v>
      </c>
      <c r="G234" s="8">
        <f>IF(B̳ases!H232="Yes",1,0)</f>
        <v>1</v>
      </c>
      <c r="H234" s="8">
        <f>IF(B̳ases!J232="Yes",1,0)</f>
        <v>1</v>
      </c>
      <c r="I234" s="11">
        <f>B̳ases!M232</f>
        <v>50</v>
      </c>
      <c r="J234" s="11">
        <f>B̳ases!L232</f>
        <v>15</v>
      </c>
      <c r="K234" s="9" t="str">
        <f>B̳ases!G232</f>
        <v>Monthly</v>
      </c>
      <c r="L234" s="11">
        <f>IFERROR(VALUE(B̳ases!I232),0)</f>
        <v>30</v>
      </c>
      <c r="M234" s="11">
        <f>B̳ases!K232</f>
        <v>20</v>
      </c>
      <c r="N234" s="6"/>
      <c r="O234" s="6"/>
      <c r="P234" s="6"/>
      <c r="Q234" s="6"/>
    </row>
    <row r="235" spans="1:17" ht="16.5" x14ac:dyDescent="0.3">
      <c r="A235" s="8">
        <f>B̳ases!A233</f>
        <v>3462</v>
      </c>
      <c r="B235" s="9" t="str">
        <f>B̳ases!C233</f>
        <v>Standard</v>
      </c>
      <c r="C235" s="10">
        <f>B̳ases!D233</f>
        <v>45579</v>
      </c>
      <c r="D235" s="9" t="str">
        <f t="shared" si="6"/>
        <v>out</v>
      </c>
      <c r="E235" s="8">
        <f t="shared" si="7"/>
        <v>10</v>
      </c>
      <c r="F235" s="8">
        <f>IF(B̳ases!E233="Yes",1,0)</f>
        <v>1</v>
      </c>
      <c r="G235" s="8">
        <f>IF(B̳ases!H233="Yes",1,0)</f>
        <v>0</v>
      </c>
      <c r="H235" s="8">
        <f>IF(B̳ases!J233="Yes",1,0)</f>
        <v>1</v>
      </c>
      <c r="I235" s="11">
        <f>B̳ases!M233</f>
        <v>15</v>
      </c>
      <c r="J235" s="11">
        <f>B̳ases!L233</f>
        <v>15</v>
      </c>
      <c r="K235" s="9" t="str">
        <f>B̳ases!G233</f>
        <v>Annual</v>
      </c>
      <c r="L235" s="11">
        <f>IFERROR(VALUE(B̳ases!I233),0)</f>
        <v>0</v>
      </c>
      <c r="M235" s="11">
        <f>B̳ases!K233</f>
        <v>20</v>
      </c>
      <c r="N235" s="6"/>
      <c r="O235" s="6"/>
      <c r="P235" s="6"/>
      <c r="Q235" s="6"/>
    </row>
    <row r="236" spans="1:17" ht="16.5" x14ac:dyDescent="0.3">
      <c r="A236" s="8">
        <f>B̳ases!A234</f>
        <v>3463</v>
      </c>
      <c r="B236" s="9" t="str">
        <f>B̳ases!C234</f>
        <v>Core</v>
      </c>
      <c r="C236" s="10">
        <f>B̳ases!D234</f>
        <v>45580</v>
      </c>
      <c r="D236" s="9" t="str">
        <f t="shared" si="6"/>
        <v>out</v>
      </c>
      <c r="E236" s="8">
        <f t="shared" si="7"/>
        <v>10</v>
      </c>
      <c r="F236" s="8">
        <f>IF(B̳ases!E234="Yes",1,0)</f>
        <v>0</v>
      </c>
      <c r="G236" s="8">
        <f>IF(B̳ases!H234="Yes",1,0)</f>
        <v>0</v>
      </c>
      <c r="H236" s="8">
        <f>IF(B̳ases!J234="Yes",1,0)</f>
        <v>0</v>
      </c>
      <c r="I236" s="11">
        <f>B̳ases!M234</f>
        <v>4</v>
      </c>
      <c r="J236" s="11">
        <f>B̳ases!L234</f>
        <v>1</v>
      </c>
      <c r="K236" s="9" t="str">
        <f>B̳ases!G234</f>
        <v>Monthly</v>
      </c>
      <c r="L236" s="11">
        <f>IFERROR(VALUE(B̳ases!I234),0)</f>
        <v>0</v>
      </c>
      <c r="M236" s="11">
        <f>B̳ases!K234</f>
        <v>0</v>
      </c>
      <c r="N236" s="6"/>
      <c r="O236" s="6"/>
      <c r="P236" s="6"/>
      <c r="Q236" s="6"/>
    </row>
    <row r="237" spans="1:17" ht="16.5" x14ac:dyDescent="0.3">
      <c r="A237" s="8">
        <f>B̳ases!A235</f>
        <v>3464</v>
      </c>
      <c r="B237" s="9" t="str">
        <f>B̳ases!C235</f>
        <v>Ultimate</v>
      </c>
      <c r="C237" s="10">
        <f>B̳ases!D235</f>
        <v>45581</v>
      </c>
      <c r="D237" s="9" t="str">
        <f t="shared" si="6"/>
        <v>out</v>
      </c>
      <c r="E237" s="8">
        <f t="shared" si="7"/>
        <v>10</v>
      </c>
      <c r="F237" s="8">
        <f>IF(B̳ases!E235="Yes",1,0)</f>
        <v>1</v>
      </c>
      <c r="G237" s="8">
        <f>IF(B̳ases!H235="Yes",1,0)</f>
        <v>1</v>
      </c>
      <c r="H237" s="8">
        <f>IF(B̳ases!J235="Yes",1,0)</f>
        <v>1</v>
      </c>
      <c r="I237" s="11">
        <f>B̳ases!M235</f>
        <v>58</v>
      </c>
      <c r="J237" s="11">
        <f>B̳ases!L235</f>
        <v>7</v>
      </c>
      <c r="K237" s="9" t="str">
        <f>B̳ases!G235</f>
        <v>Quarterly</v>
      </c>
      <c r="L237" s="11">
        <f>IFERROR(VALUE(B̳ases!I235),0)</f>
        <v>30</v>
      </c>
      <c r="M237" s="11">
        <f>B̳ases!K235</f>
        <v>20</v>
      </c>
      <c r="N237" s="6"/>
      <c r="O237" s="6"/>
      <c r="P237" s="6"/>
      <c r="Q237" s="6"/>
    </row>
    <row r="238" spans="1:17" ht="16.5" x14ac:dyDescent="0.3">
      <c r="A238" s="8">
        <f>B̳ases!A236</f>
        <v>3465</v>
      </c>
      <c r="B238" s="9" t="str">
        <f>B̳ases!C236</f>
        <v>Standard</v>
      </c>
      <c r="C238" s="10">
        <f>B̳ases!D236</f>
        <v>45582</v>
      </c>
      <c r="D238" s="9" t="str">
        <f t="shared" si="6"/>
        <v>out</v>
      </c>
      <c r="E238" s="8">
        <f t="shared" si="7"/>
        <v>10</v>
      </c>
      <c r="F238" s="8">
        <f>IF(B̳ases!E236="Yes",1,0)</f>
        <v>0</v>
      </c>
      <c r="G238" s="8">
        <f>IF(B̳ases!H236="Yes",1,0)</f>
        <v>0</v>
      </c>
      <c r="H238" s="8">
        <f>IF(B̳ases!J236="Yes",1,0)</f>
        <v>1</v>
      </c>
      <c r="I238" s="11">
        <f>B̳ases!M236</f>
        <v>20</v>
      </c>
      <c r="J238" s="11">
        <f>B̳ases!L236</f>
        <v>10</v>
      </c>
      <c r="K238" s="9" t="str">
        <f>B̳ases!G236</f>
        <v>Monthly</v>
      </c>
      <c r="L238" s="11">
        <f>IFERROR(VALUE(B̳ases!I236),0)</f>
        <v>0</v>
      </c>
      <c r="M238" s="11">
        <f>B̳ases!K236</f>
        <v>20</v>
      </c>
      <c r="N238" s="6"/>
      <c r="O238" s="6"/>
      <c r="P238" s="6"/>
      <c r="Q238" s="6"/>
    </row>
    <row r="239" spans="1:17" ht="16.5" x14ac:dyDescent="0.3">
      <c r="A239" s="8">
        <f>B̳ases!A237</f>
        <v>3466</v>
      </c>
      <c r="B239" s="9" t="str">
        <f>B̳ases!C237</f>
        <v>Core</v>
      </c>
      <c r="C239" s="10">
        <f>B̳ases!D237</f>
        <v>45583</v>
      </c>
      <c r="D239" s="9" t="str">
        <f t="shared" si="6"/>
        <v>out</v>
      </c>
      <c r="E239" s="8">
        <f t="shared" si="7"/>
        <v>10</v>
      </c>
      <c r="F239" s="8">
        <f>IF(B̳ases!E237="Yes",1,0)</f>
        <v>1</v>
      </c>
      <c r="G239" s="8">
        <f>IF(B̳ases!H237="Yes",1,0)</f>
        <v>0</v>
      </c>
      <c r="H239" s="8">
        <f>IF(B̳ases!J237="Yes",1,0)</f>
        <v>0</v>
      </c>
      <c r="I239" s="11">
        <f>B̳ases!M237</f>
        <v>5</v>
      </c>
      <c r="J239" s="11">
        <f>B̳ases!L237</f>
        <v>0</v>
      </c>
      <c r="K239" s="9" t="str">
        <f>B̳ases!G237</f>
        <v>Annual</v>
      </c>
      <c r="L239" s="11">
        <f>IFERROR(VALUE(B̳ases!I237),0)</f>
        <v>0</v>
      </c>
      <c r="M239" s="11">
        <f>B̳ases!K237</f>
        <v>0</v>
      </c>
      <c r="N239" s="6"/>
      <c r="O239" s="6"/>
      <c r="P239" s="6"/>
      <c r="Q239" s="6"/>
    </row>
    <row r="240" spans="1:17" ht="16.5" x14ac:dyDescent="0.3">
      <c r="A240" s="8">
        <f>B̳ases!A238</f>
        <v>3467</v>
      </c>
      <c r="B240" s="9" t="str">
        <f>B̳ases!C238</f>
        <v>Ultimate</v>
      </c>
      <c r="C240" s="10">
        <f>B̳ases!D238</f>
        <v>45584</v>
      </c>
      <c r="D240" s="9" t="str">
        <f t="shared" si="6"/>
        <v>out</v>
      </c>
      <c r="E240" s="8">
        <f t="shared" si="7"/>
        <v>10</v>
      </c>
      <c r="F240" s="8">
        <f>IF(B̳ases!E238="Yes",1,0)</f>
        <v>0</v>
      </c>
      <c r="G240" s="8">
        <f>IF(B̳ases!H238="Yes",1,0)</f>
        <v>1</v>
      </c>
      <c r="H240" s="8">
        <f>IF(B̳ases!J238="Yes",1,0)</f>
        <v>1</v>
      </c>
      <c r="I240" s="11">
        <f>B̳ases!M238</f>
        <v>50</v>
      </c>
      <c r="J240" s="11">
        <f>B̳ases!L238</f>
        <v>15</v>
      </c>
      <c r="K240" s="9" t="str">
        <f>B̳ases!G238</f>
        <v>Monthly</v>
      </c>
      <c r="L240" s="11">
        <f>IFERROR(VALUE(B̳ases!I238),0)</f>
        <v>30</v>
      </c>
      <c r="M240" s="11">
        <f>B̳ases!K238</f>
        <v>20</v>
      </c>
      <c r="N240" s="6"/>
      <c r="O240" s="6"/>
      <c r="P240" s="6"/>
      <c r="Q240" s="6"/>
    </row>
    <row r="241" spans="1:17" ht="16.5" x14ac:dyDescent="0.3">
      <c r="A241" s="8">
        <f>B̳ases!A239</f>
        <v>3468</v>
      </c>
      <c r="B241" s="9" t="str">
        <f>B̳ases!C239</f>
        <v>Standard</v>
      </c>
      <c r="C241" s="10">
        <f>B̳ases!D239</f>
        <v>45585</v>
      </c>
      <c r="D241" s="9" t="str">
        <f t="shared" si="6"/>
        <v>out</v>
      </c>
      <c r="E241" s="8">
        <f t="shared" si="7"/>
        <v>10</v>
      </c>
      <c r="F241" s="8">
        <f>IF(B̳ases!E239="Yes",1,0)</f>
        <v>1</v>
      </c>
      <c r="G241" s="8">
        <f>IF(B̳ases!H239="Yes",1,0)</f>
        <v>0</v>
      </c>
      <c r="H241" s="8">
        <f>IF(B̳ases!J239="Yes",1,0)</f>
        <v>1</v>
      </c>
      <c r="I241" s="11">
        <f>B̳ases!M239</f>
        <v>18</v>
      </c>
      <c r="J241" s="11">
        <f>B̳ases!L239</f>
        <v>12</v>
      </c>
      <c r="K241" s="9" t="str">
        <f>B̳ases!G239</f>
        <v>Quarterly</v>
      </c>
      <c r="L241" s="11">
        <f>IFERROR(VALUE(B̳ases!I239),0)</f>
        <v>0</v>
      </c>
      <c r="M241" s="11">
        <f>B̳ases!K239</f>
        <v>20</v>
      </c>
      <c r="N241" s="6"/>
      <c r="O241" s="6"/>
      <c r="P241" s="6"/>
      <c r="Q241" s="6"/>
    </row>
    <row r="242" spans="1:17" ht="16.5" x14ac:dyDescent="0.3">
      <c r="A242" s="8">
        <f>B̳ases!A240</f>
        <v>3469</v>
      </c>
      <c r="B242" s="9" t="str">
        <f>B̳ases!C240</f>
        <v>Core</v>
      </c>
      <c r="C242" s="10">
        <f>B̳ases!D240</f>
        <v>45586</v>
      </c>
      <c r="D242" s="9" t="str">
        <f t="shared" si="6"/>
        <v>out</v>
      </c>
      <c r="E242" s="8">
        <f t="shared" si="7"/>
        <v>10</v>
      </c>
      <c r="F242" s="8">
        <f>IF(B̳ases!E240="Yes",1,0)</f>
        <v>0</v>
      </c>
      <c r="G242" s="8">
        <f>IF(B̳ases!H240="Yes",1,0)</f>
        <v>0</v>
      </c>
      <c r="H242" s="8">
        <f>IF(B̳ases!J240="Yes",1,0)</f>
        <v>0</v>
      </c>
      <c r="I242" s="11">
        <f>B̳ases!M240</f>
        <v>3</v>
      </c>
      <c r="J242" s="11">
        <f>B̳ases!L240</f>
        <v>2</v>
      </c>
      <c r="K242" s="9" t="str">
        <f>B̳ases!G240</f>
        <v>Monthly</v>
      </c>
      <c r="L242" s="11">
        <f>IFERROR(VALUE(B̳ases!I240),0)</f>
        <v>0</v>
      </c>
      <c r="M242" s="11">
        <f>B̳ases!K240</f>
        <v>0</v>
      </c>
      <c r="N242" s="6"/>
      <c r="O242" s="6"/>
      <c r="P242" s="6"/>
      <c r="Q242" s="6"/>
    </row>
    <row r="243" spans="1:17" ht="16.5" x14ac:dyDescent="0.3">
      <c r="A243" s="8">
        <f>B̳ases!A241</f>
        <v>3470</v>
      </c>
      <c r="B243" s="9" t="str">
        <f>B̳ases!C241</f>
        <v>Ultimate</v>
      </c>
      <c r="C243" s="10">
        <f>B̳ases!D241</f>
        <v>45587</v>
      </c>
      <c r="D243" s="9" t="str">
        <f t="shared" si="6"/>
        <v>out</v>
      </c>
      <c r="E243" s="8">
        <f t="shared" si="7"/>
        <v>10</v>
      </c>
      <c r="F243" s="8">
        <f>IF(B̳ases!E241="Yes",1,0)</f>
        <v>1</v>
      </c>
      <c r="G243" s="8">
        <f>IF(B̳ases!H241="Yes",1,0)</f>
        <v>1</v>
      </c>
      <c r="H243" s="8">
        <f>IF(B̳ases!J241="Yes",1,0)</f>
        <v>1</v>
      </c>
      <c r="I243" s="11">
        <f>B̳ases!M241</f>
        <v>60</v>
      </c>
      <c r="J243" s="11">
        <f>B̳ases!L241</f>
        <v>5</v>
      </c>
      <c r="K243" s="9" t="str">
        <f>B̳ases!G241</f>
        <v>Annual</v>
      </c>
      <c r="L243" s="11">
        <f>IFERROR(VALUE(B̳ases!I241),0)</f>
        <v>30</v>
      </c>
      <c r="M243" s="11">
        <f>B̳ases!K241</f>
        <v>20</v>
      </c>
      <c r="N243" s="6"/>
      <c r="O243" s="6"/>
      <c r="P243" s="6"/>
      <c r="Q243" s="6"/>
    </row>
    <row r="244" spans="1:17" ht="16.5" x14ac:dyDescent="0.3">
      <c r="A244" s="8">
        <f>B̳ases!A242</f>
        <v>3471</v>
      </c>
      <c r="B244" s="9" t="str">
        <f>B̳ases!C242</f>
        <v>Standard</v>
      </c>
      <c r="C244" s="10">
        <f>B̳ases!D242</f>
        <v>45588</v>
      </c>
      <c r="D244" s="9" t="str">
        <f t="shared" si="6"/>
        <v>out</v>
      </c>
      <c r="E244" s="8">
        <f t="shared" si="7"/>
        <v>10</v>
      </c>
      <c r="F244" s="8">
        <f>IF(B̳ases!E242="Yes",1,0)</f>
        <v>0</v>
      </c>
      <c r="G244" s="8">
        <f>IF(B̳ases!H242="Yes",1,0)</f>
        <v>0</v>
      </c>
      <c r="H244" s="8">
        <f>IF(B̳ases!J242="Yes",1,0)</f>
        <v>1</v>
      </c>
      <c r="I244" s="11">
        <f>B̳ases!M242</f>
        <v>20</v>
      </c>
      <c r="J244" s="11">
        <f>B̳ases!L242</f>
        <v>10</v>
      </c>
      <c r="K244" s="9" t="str">
        <f>B̳ases!G242</f>
        <v>Monthly</v>
      </c>
      <c r="L244" s="11">
        <f>IFERROR(VALUE(B̳ases!I242),0)</f>
        <v>0</v>
      </c>
      <c r="M244" s="11">
        <f>B̳ases!K242</f>
        <v>20</v>
      </c>
      <c r="N244" s="6"/>
      <c r="O244" s="6"/>
      <c r="P244" s="6"/>
      <c r="Q244" s="6"/>
    </row>
    <row r="245" spans="1:17" ht="16.5" x14ac:dyDescent="0.3">
      <c r="A245" s="8">
        <f>B̳ases!A243</f>
        <v>3472</v>
      </c>
      <c r="B245" s="9" t="str">
        <f>B̳ases!C243</f>
        <v>Core</v>
      </c>
      <c r="C245" s="10">
        <f>B̳ases!D243</f>
        <v>45589</v>
      </c>
      <c r="D245" s="9" t="str">
        <f t="shared" si="6"/>
        <v>out</v>
      </c>
      <c r="E245" s="8">
        <f t="shared" si="7"/>
        <v>10</v>
      </c>
      <c r="F245" s="8">
        <f>IF(B̳ases!E243="Yes",1,0)</f>
        <v>1</v>
      </c>
      <c r="G245" s="8">
        <f>IF(B̳ases!H243="Yes",1,0)</f>
        <v>0</v>
      </c>
      <c r="H245" s="8">
        <f>IF(B̳ases!J243="Yes",1,0)</f>
        <v>0</v>
      </c>
      <c r="I245" s="11">
        <f>B̳ases!M243</f>
        <v>5</v>
      </c>
      <c r="J245" s="11">
        <f>B̳ases!L243</f>
        <v>0</v>
      </c>
      <c r="K245" s="9" t="str">
        <f>B̳ases!G243</f>
        <v>Quarterly</v>
      </c>
      <c r="L245" s="11">
        <f>IFERROR(VALUE(B̳ases!I243),0)</f>
        <v>0</v>
      </c>
      <c r="M245" s="11">
        <f>B̳ases!K243</f>
        <v>0</v>
      </c>
      <c r="N245" s="6"/>
      <c r="O245" s="6"/>
      <c r="P245" s="6"/>
      <c r="Q245" s="6"/>
    </row>
    <row r="246" spans="1:17" ht="16.5" x14ac:dyDescent="0.3">
      <c r="A246" s="8">
        <f>B̳ases!A244</f>
        <v>3473</v>
      </c>
      <c r="B246" s="9" t="str">
        <f>B̳ases!C244</f>
        <v>Ultimate</v>
      </c>
      <c r="C246" s="10">
        <f>B̳ases!D244</f>
        <v>45590</v>
      </c>
      <c r="D246" s="9" t="str">
        <f t="shared" si="6"/>
        <v>out</v>
      </c>
      <c r="E246" s="8">
        <f t="shared" si="7"/>
        <v>10</v>
      </c>
      <c r="F246" s="8">
        <f>IF(B̳ases!E244="Yes",1,0)</f>
        <v>0</v>
      </c>
      <c r="G246" s="8">
        <f>IF(B̳ases!H244="Yes",1,0)</f>
        <v>1</v>
      </c>
      <c r="H246" s="8">
        <f>IF(B̳ases!J244="Yes",1,0)</f>
        <v>1</v>
      </c>
      <c r="I246" s="11">
        <f>B̳ases!M244</f>
        <v>62</v>
      </c>
      <c r="J246" s="11">
        <f>B̳ases!L244</f>
        <v>3</v>
      </c>
      <c r="K246" s="9" t="str">
        <f>B̳ases!G244</f>
        <v>Monthly</v>
      </c>
      <c r="L246" s="11">
        <f>IFERROR(VALUE(B̳ases!I244),0)</f>
        <v>30</v>
      </c>
      <c r="M246" s="11">
        <f>B̳ases!K244</f>
        <v>20</v>
      </c>
      <c r="N246" s="6"/>
      <c r="O246" s="6"/>
      <c r="P246" s="6"/>
      <c r="Q246" s="6"/>
    </row>
    <row r="247" spans="1:17" ht="16.5" x14ac:dyDescent="0.3">
      <c r="A247" s="8">
        <f>B̳ases!A245</f>
        <v>3474</v>
      </c>
      <c r="B247" s="9" t="str">
        <f>B̳ases!C245</f>
        <v>Standard</v>
      </c>
      <c r="C247" s="10">
        <f>B̳ases!D245</f>
        <v>45591</v>
      </c>
      <c r="D247" s="9" t="str">
        <f t="shared" si="6"/>
        <v>out</v>
      </c>
      <c r="E247" s="8">
        <f t="shared" si="7"/>
        <v>10</v>
      </c>
      <c r="F247" s="8">
        <f>IF(B̳ases!E245="Yes",1,0)</f>
        <v>1</v>
      </c>
      <c r="G247" s="8">
        <f>IF(B̳ases!H245="Yes",1,0)</f>
        <v>0</v>
      </c>
      <c r="H247" s="8">
        <f>IF(B̳ases!J245="Yes",1,0)</f>
        <v>1</v>
      </c>
      <c r="I247" s="11">
        <f>B̳ases!M245</f>
        <v>15</v>
      </c>
      <c r="J247" s="11">
        <f>B̳ases!L245</f>
        <v>15</v>
      </c>
      <c r="K247" s="9" t="str">
        <f>B̳ases!G245</f>
        <v>Annual</v>
      </c>
      <c r="L247" s="11">
        <f>IFERROR(VALUE(B̳ases!I245),0)</f>
        <v>0</v>
      </c>
      <c r="M247" s="11">
        <f>B̳ases!K245</f>
        <v>20</v>
      </c>
      <c r="N247" s="6"/>
      <c r="O247" s="6"/>
      <c r="P247" s="6"/>
      <c r="Q247" s="6"/>
    </row>
    <row r="248" spans="1:17" ht="16.5" x14ac:dyDescent="0.3">
      <c r="A248" s="8">
        <f>B̳ases!A246</f>
        <v>3475</v>
      </c>
      <c r="B248" s="9" t="str">
        <f>B̳ases!C246</f>
        <v>Core</v>
      </c>
      <c r="C248" s="10">
        <f>B̳ases!D246</f>
        <v>45592</v>
      </c>
      <c r="D248" s="9" t="str">
        <f t="shared" si="6"/>
        <v>out</v>
      </c>
      <c r="E248" s="8">
        <f t="shared" si="7"/>
        <v>10</v>
      </c>
      <c r="F248" s="8">
        <f>IF(B̳ases!E246="Yes",1,0)</f>
        <v>0</v>
      </c>
      <c r="G248" s="8">
        <f>IF(B̳ases!H246="Yes",1,0)</f>
        <v>0</v>
      </c>
      <c r="H248" s="8">
        <f>IF(B̳ases!J246="Yes",1,0)</f>
        <v>0</v>
      </c>
      <c r="I248" s="11">
        <f>B̳ases!M246</f>
        <v>4</v>
      </c>
      <c r="J248" s="11">
        <f>B̳ases!L246</f>
        <v>1</v>
      </c>
      <c r="K248" s="9" t="str">
        <f>B̳ases!G246</f>
        <v>Monthly</v>
      </c>
      <c r="L248" s="11">
        <f>IFERROR(VALUE(B̳ases!I246),0)</f>
        <v>0</v>
      </c>
      <c r="M248" s="11">
        <f>B̳ases!K246</f>
        <v>0</v>
      </c>
      <c r="N248" s="6"/>
      <c r="O248" s="6"/>
      <c r="P248" s="6"/>
      <c r="Q248" s="6"/>
    </row>
    <row r="249" spans="1:17" ht="16.5" x14ac:dyDescent="0.3">
      <c r="A249" s="8">
        <f>B̳ases!A247</f>
        <v>3476</v>
      </c>
      <c r="B249" s="9" t="str">
        <f>B̳ases!C247</f>
        <v>Ultimate</v>
      </c>
      <c r="C249" s="10">
        <f>B̳ases!D247</f>
        <v>45593</v>
      </c>
      <c r="D249" s="9" t="str">
        <f t="shared" si="6"/>
        <v>out</v>
      </c>
      <c r="E249" s="8">
        <f t="shared" si="7"/>
        <v>10</v>
      </c>
      <c r="F249" s="8">
        <f>IF(B̳ases!E247="Yes",1,0)</f>
        <v>1</v>
      </c>
      <c r="G249" s="8">
        <f>IF(B̳ases!H247="Yes",1,0)</f>
        <v>1</v>
      </c>
      <c r="H249" s="8">
        <f>IF(B̳ases!J247="Yes",1,0)</f>
        <v>1</v>
      </c>
      <c r="I249" s="11">
        <f>B̳ases!M247</f>
        <v>58</v>
      </c>
      <c r="J249" s="11">
        <f>B̳ases!L247</f>
        <v>7</v>
      </c>
      <c r="K249" s="9" t="str">
        <f>B̳ases!G247</f>
        <v>Quarterly</v>
      </c>
      <c r="L249" s="11">
        <f>IFERROR(VALUE(B̳ases!I247),0)</f>
        <v>30</v>
      </c>
      <c r="M249" s="11">
        <f>B̳ases!K247</f>
        <v>20</v>
      </c>
      <c r="N249" s="6"/>
      <c r="O249" s="6"/>
      <c r="P249" s="6"/>
      <c r="Q249" s="6"/>
    </row>
    <row r="250" spans="1:17" ht="16.5" x14ac:dyDescent="0.3">
      <c r="A250" s="8">
        <f>B̳ases!A248</f>
        <v>3477</v>
      </c>
      <c r="B250" s="9" t="str">
        <f>B̳ases!C248</f>
        <v>Standard</v>
      </c>
      <c r="C250" s="10">
        <f>B̳ases!D248</f>
        <v>45594</v>
      </c>
      <c r="D250" s="9" t="str">
        <f t="shared" si="6"/>
        <v>out</v>
      </c>
      <c r="E250" s="8">
        <f t="shared" si="7"/>
        <v>10</v>
      </c>
      <c r="F250" s="8">
        <f>IF(B̳ases!E248="Yes",1,0)</f>
        <v>0</v>
      </c>
      <c r="G250" s="8">
        <f>IF(B̳ases!H248="Yes",1,0)</f>
        <v>0</v>
      </c>
      <c r="H250" s="8">
        <f>IF(B̳ases!J248="Yes",1,0)</f>
        <v>1</v>
      </c>
      <c r="I250" s="11">
        <f>B̳ases!M248</f>
        <v>20</v>
      </c>
      <c r="J250" s="11">
        <f>B̳ases!L248</f>
        <v>10</v>
      </c>
      <c r="K250" s="9" t="str">
        <f>B̳ases!G248</f>
        <v>Monthly</v>
      </c>
      <c r="L250" s="11">
        <f>IFERROR(VALUE(B̳ases!I248),0)</f>
        <v>0</v>
      </c>
      <c r="M250" s="11">
        <f>B̳ases!K248</f>
        <v>20</v>
      </c>
      <c r="N250" s="6"/>
      <c r="O250" s="6"/>
      <c r="P250" s="6"/>
      <c r="Q250" s="6"/>
    </row>
    <row r="251" spans="1:17" ht="16.5" x14ac:dyDescent="0.3">
      <c r="A251" s="8">
        <f>B̳ases!A249</f>
        <v>3478</v>
      </c>
      <c r="B251" s="9" t="str">
        <f>B̳ases!C249</f>
        <v>Core</v>
      </c>
      <c r="C251" s="10">
        <f>B̳ases!D249</f>
        <v>45595</v>
      </c>
      <c r="D251" s="9" t="str">
        <f t="shared" si="6"/>
        <v>out</v>
      </c>
      <c r="E251" s="8">
        <f t="shared" si="7"/>
        <v>10</v>
      </c>
      <c r="F251" s="8">
        <f>IF(B̳ases!E249="Yes",1,0)</f>
        <v>1</v>
      </c>
      <c r="G251" s="8">
        <f>IF(B̳ases!H249="Yes",1,0)</f>
        <v>0</v>
      </c>
      <c r="H251" s="8">
        <f>IF(B̳ases!J249="Yes",1,0)</f>
        <v>0</v>
      </c>
      <c r="I251" s="11">
        <f>B̳ases!M249</f>
        <v>5</v>
      </c>
      <c r="J251" s="11">
        <f>B̳ases!L249</f>
        <v>0</v>
      </c>
      <c r="K251" s="9" t="str">
        <f>B̳ases!G249</f>
        <v>Annual</v>
      </c>
      <c r="L251" s="11">
        <f>IFERROR(VALUE(B̳ases!I249),0)</f>
        <v>0</v>
      </c>
      <c r="M251" s="11">
        <f>B̳ases!K249</f>
        <v>0</v>
      </c>
      <c r="N251" s="6"/>
      <c r="O251" s="6"/>
      <c r="P251" s="6"/>
      <c r="Q251" s="6"/>
    </row>
    <row r="252" spans="1:17" ht="16.5" x14ac:dyDescent="0.3">
      <c r="A252" s="8">
        <f>B̳ases!A250</f>
        <v>3479</v>
      </c>
      <c r="B252" s="9" t="str">
        <f>B̳ases!C250</f>
        <v>Ultimate</v>
      </c>
      <c r="C252" s="10">
        <f>B̳ases!D250</f>
        <v>45596</v>
      </c>
      <c r="D252" s="9" t="str">
        <f t="shared" si="6"/>
        <v>out</v>
      </c>
      <c r="E252" s="8">
        <f t="shared" si="7"/>
        <v>10</v>
      </c>
      <c r="F252" s="8">
        <f>IF(B̳ases!E250="Yes",1,0)</f>
        <v>0</v>
      </c>
      <c r="G252" s="8">
        <f>IF(B̳ases!H250="Yes",1,0)</f>
        <v>1</v>
      </c>
      <c r="H252" s="8">
        <f>IF(B̳ases!J250="Yes",1,0)</f>
        <v>1</v>
      </c>
      <c r="I252" s="11">
        <f>B̳ases!M250</f>
        <v>45</v>
      </c>
      <c r="J252" s="11">
        <f>B̳ases!L250</f>
        <v>20</v>
      </c>
      <c r="K252" s="9" t="str">
        <f>B̳ases!G250</f>
        <v>Monthly</v>
      </c>
      <c r="L252" s="11">
        <f>IFERROR(VALUE(B̳ases!I250),0)</f>
        <v>30</v>
      </c>
      <c r="M252" s="11">
        <f>B̳ases!K250</f>
        <v>20</v>
      </c>
      <c r="N252" s="6"/>
      <c r="O252" s="6"/>
      <c r="P252" s="6"/>
      <c r="Q252" s="6"/>
    </row>
    <row r="253" spans="1:17" ht="16.5" x14ac:dyDescent="0.3">
      <c r="A253" s="8">
        <f>B̳ases!A251</f>
        <v>3480</v>
      </c>
      <c r="B253" s="9" t="str">
        <f>B̳ases!C251</f>
        <v>Standard</v>
      </c>
      <c r="C253" s="10">
        <f>B̳ases!D251</f>
        <v>45597</v>
      </c>
      <c r="D253" s="9" t="str">
        <f t="shared" si="6"/>
        <v>nov</v>
      </c>
      <c r="E253" s="8">
        <f t="shared" si="7"/>
        <v>11</v>
      </c>
      <c r="F253" s="8">
        <f>IF(B̳ases!E251="Yes",1,0)</f>
        <v>1</v>
      </c>
      <c r="G253" s="8">
        <f>IF(B̳ases!H251="Yes",1,0)</f>
        <v>0</v>
      </c>
      <c r="H253" s="8">
        <f>IF(B̳ases!J251="Yes",1,0)</f>
        <v>1</v>
      </c>
      <c r="I253" s="11">
        <f>B̳ases!M251</f>
        <v>15</v>
      </c>
      <c r="J253" s="11">
        <f>B̳ases!L251</f>
        <v>15</v>
      </c>
      <c r="K253" s="9" t="str">
        <f>B̳ases!G251</f>
        <v>Quarterly</v>
      </c>
      <c r="L253" s="11">
        <f>IFERROR(VALUE(B̳ases!I251),0)</f>
        <v>0</v>
      </c>
      <c r="M253" s="11">
        <f>B̳ases!K251</f>
        <v>20</v>
      </c>
      <c r="N253" s="6"/>
      <c r="O253" s="6"/>
      <c r="P253" s="6"/>
      <c r="Q253" s="6"/>
    </row>
    <row r="254" spans="1:17" ht="16.5" x14ac:dyDescent="0.3">
      <c r="A254" s="8">
        <f>B̳ases!A252</f>
        <v>3481</v>
      </c>
      <c r="B254" s="9" t="str">
        <f>B̳ases!C252</f>
        <v>Core</v>
      </c>
      <c r="C254" s="10">
        <f>B̳ases!D252</f>
        <v>45598</v>
      </c>
      <c r="D254" s="9" t="str">
        <f t="shared" si="6"/>
        <v>nov</v>
      </c>
      <c r="E254" s="8">
        <f t="shared" si="7"/>
        <v>11</v>
      </c>
      <c r="F254" s="8">
        <f>IF(B̳ases!E252="Yes",1,0)</f>
        <v>0</v>
      </c>
      <c r="G254" s="8">
        <f>IF(B̳ases!H252="Yes",1,0)</f>
        <v>0</v>
      </c>
      <c r="H254" s="8">
        <f>IF(B̳ases!J252="Yes",1,0)</f>
        <v>0</v>
      </c>
      <c r="I254" s="11">
        <f>B̳ases!M252</f>
        <v>4</v>
      </c>
      <c r="J254" s="11">
        <f>B̳ases!L252</f>
        <v>1</v>
      </c>
      <c r="K254" s="9" t="str">
        <f>B̳ases!G252</f>
        <v>Monthly</v>
      </c>
      <c r="L254" s="11">
        <f>IFERROR(VALUE(B̳ases!I252),0)</f>
        <v>0</v>
      </c>
      <c r="M254" s="11">
        <f>B̳ases!K252</f>
        <v>0</v>
      </c>
      <c r="N254" s="6"/>
      <c r="O254" s="6"/>
      <c r="P254" s="6"/>
      <c r="Q254" s="6"/>
    </row>
    <row r="255" spans="1:17" ht="16.5" x14ac:dyDescent="0.3">
      <c r="A255" s="8">
        <f>B̳ases!A253</f>
        <v>3482</v>
      </c>
      <c r="B255" s="9" t="str">
        <f>B̳ases!C253</f>
        <v>Ultimate</v>
      </c>
      <c r="C255" s="10">
        <f>B̳ases!D253</f>
        <v>45599</v>
      </c>
      <c r="D255" s="9" t="str">
        <f t="shared" si="6"/>
        <v>nov</v>
      </c>
      <c r="E255" s="8">
        <f t="shared" si="7"/>
        <v>11</v>
      </c>
      <c r="F255" s="8">
        <f>IF(B̳ases!E253="Yes",1,0)</f>
        <v>1</v>
      </c>
      <c r="G255" s="8">
        <f>IF(B̳ases!H253="Yes",1,0)</f>
        <v>1</v>
      </c>
      <c r="H255" s="8">
        <f>IF(B̳ases!J253="Yes",1,0)</f>
        <v>1</v>
      </c>
      <c r="I255" s="11">
        <f>B̳ases!M253</f>
        <v>62</v>
      </c>
      <c r="J255" s="11">
        <f>B̳ases!L253</f>
        <v>3</v>
      </c>
      <c r="K255" s="9" t="str">
        <f>B̳ases!G253</f>
        <v>Annual</v>
      </c>
      <c r="L255" s="11">
        <f>IFERROR(VALUE(B̳ases!I253),0)</f>
        <v>30</v>
      </c>
      <c r="M255" s="11">
        <f>B̳ases!K253</f>
        <v>20</v>
      </c>
      <c r="N255" s="6"/>
      <c r="O255" s="6"/>
      <c r="P255" s="6"/>
      <c r="Q255" s="6"/>
    </row>
    <row r="256" spans="1:17" ht="16.5" x14ac:dyDescent="0.3">
      <c r="A256" s="8">
        <f>B̳ases!A254</f>
        <v>3483</v>
      </c>
      <c r="B256" s="9" t="str">
        <f>B̳ases!C254</f>
        <v>Standard</v>
      </c>
      <c r="C256" s="10">
        <f>B̳ases!D254</f>
        <v>45600</v>
      </c>
      <c r="D256" s="9" t="str">
        <f t="shared" si="6"/>
        <v>nov</v>
      </c>
      <c r="E256" s="8">
        <f t="shared" si="7"/>
        <v>11</v>
      </c>
      <c r="F256" s="8">
        <f>IF(B̳ases!E254="Yes",1,0)</f>
        <v>0</v>
      </c>
      <c r="G256" s="8">
        <f>IF(B̳ases!H254="Yes",1,0)</f>
        <v>0</v>
      </c>
      <c r="H256" s="8">
        <f>IF(B̳ases!J254="Yes",1,0)</f>
        <v>1</v>
      </c>
      <c r="I256" s="11">
        <f>B̳ases!M254</f>
        <v>20</v>
      </c>
      <c r="J256" s="11">
        <f>B̳ases!L254</f>
        <v>10</v>
      </c>
      <c r="K256" s="9" t="str">
        <f>B̳ases!G254</f>
        <v>Monthly</v>
      </c>
      <c r="L256" s="11">
        <f>IFERROR(VALUE(B̳ases!I254),0)</f>
        <v>0</v>
      </c>
      <c r="M256" s="11">
        <f>B̳ases!K254</f>
        <v>20</v>
      </c>
      <c r="N256" s="6"/>
      <c r="O256" s="6"/>
      <c r="P256" s="6"/>
      <c r="Q256" s="6"/>
    </row>
    <row r="257" spans="1:17" ht="16.5" x14ac:dyDescent="0.3">
      <c r="A257" s="8">
        <f>B̳ases!A255</f>
        <v>3484</v>
      </c>
      <c r="B257" s="9" t="str">
        <f>B̳ases!C255</f>
        <v>Core</v>
      </c>
      <c r="C257" s="10">
        <f>B̳ases!D255</f>
        <v>45601</v>
      </c>
      <c r="D257" s="9" t="str">
        <f t="shared" si="6"/>
        <v>nov</v>
      </c>
      <c r="E257" s="8">
        <f t="shared" si="7"/>
        <v>11</v>
      </c>
      <c r="F257" s="8">
        <f>IF(B̳ases!E255="Yes",1,0)</f>
        <v>1</v>
      </c>
      <c r="G257" s="8">
        <f>IF(B̳ases!H255="Yes",1,0)</f>
        <v>0</v>
      </c>
      <c r="H257" s="8">
        <f>IF(B̳ases!J255="Yes",1,0)</f>
        <v>0</v>
      </c>
      <c r="I257" s="11">
        <f>B̳ases!M255</f>
        <v>5</v>
      </c>
      <c r="J257" s="11">
        <f>B̳ases!L255</f>
        <v>0</v>
      </c>
      <c r="K257" s="9" t="str">
        <f>B̳ases!G255</f>
        <v>Quarterly</v>
      </c>
      <c r="L257" s="11">
        <f>IFERROR(VALUE(B̳ases!I255),0)</f>
        <v>0</v>
      </c>
      <c r="M257" s="11">
        <f>B̳ases!K255</f>
        <v>0</v>
      </c>
      <c r="N257" s="6"/>
      <c r="O257" s="6"/>
      <c r="P257" s="6"/>
      <c r="Q257" s="6"/>
    </row>
    <row r="258" spans="1:17" ht="16.5" x14ac:dyDescent="0.3">
      <c r="A258" s="8">
        <f>B̳ases!A256</f>
        <v>3485</v>
      </c>
      <c r="B258" s="9" t="str">
        <f>B̳ases!C256</f>
        <v>Ultimate</v>
      </c>
      <c r="C258" s="10">
        <f>B̳ases!D256</f>
        <v>45602</v>
      </c>
      <c r="D258" s="9" t="str">
        <f t="shared" si="6"/>
        <v>nov</v>
      </c>
      <c r="E258" s="8">
        <f t="shared" si="7"/>
        <v>11</v>
      </c>
      <c r="F258" s="8">
        <f>IF(B̳ases!E256="Yes",1,0)</f>
        <v>0</v>
      </c>
      <c r="G258" s="8">
        <f>IF(B̳ases!H256="Yes",1,0)</f>
        <v>1</v>
      </c>
      <c r="H258" s="8">
        <f>IF(B̳ases!J256="Yes",1,0)</f>
        <v>1</v>
      </c>
      <c r="I258" s="11">
        <f>B̳ases!M256</f>
        <v>50</v>
      </c>
      <c r="J258" s="11">
        <f>B̳ases!L256</f>
        <v>15</v>
      </c>
      <c r="K258" s="9" t="str">
        <f>B̳ases!G256</f>
        <v>Monthly</v>
      </c>
      <c r="L258" s="11">
        <f>IFERROR(VALUE(B̳ases!I256),0)</f>
        <v>30</v>
      </c>
      <c r="M258" s="11">
        <f>B̳ases!K256</f>
        <v>20</v>
      </c>
      <c r="N258" s="6"/>
      <c r="O258" s="6"/>
      <c r="P258" s="6"/>
      <c r="Q258" s="6"/>
    </row>
    <row r="259" spans="1:17" ht="16.5" x14ac:dyDescent="0.3">
      <c r="A259" s="8">
        <f>B̳ases!A257</f>
        <v>3486</v>
      </c>
      <c r="B259" s="9" t="str">
        <f>B̳ases!C257</f>
        <v>Core</v>
      </c>
      <c r="C259" s="10">
        <f>B̳ases!D257</f>
        <v>45603</v>
      </c>
      <c r="D259" s="9" t="str">
        <f t="shared" si="6"/>
        <v>nov</v>
      </c>
      <c r="E259" s="8">
        <f t="shared" si="7"/>
        <v>11</v>
      </c>
      <c r="F259" s="8">
        <f>IF(B̳ases!E257="Yes",1,0)</f>
        <v>1</v>
      </c>
      <c r="G259" s="8">
        <f>IF(B̳ases!H257="Yes",1,0)</f>
        <v>0</v>
      </c>
      <c r="H259" s="8">
        <f>IF(B̳ases!J257="Yes",1,0)</f>
        <v>0</v>
      </c>
      <c r="I259" s="11">
        <f>B̳ases!M257</f>
        <v>5</v>
      </c>
      <c r="J259" s="11">
        <f>B̳ases!L257</f>
        <v>0</v>
      </c>
      <c r="K259" s="9" t="str">
        <f>B̳ases!G257</f>
        <v>Monthly</v>
      </c>
      <c r="L259" s="11">
        <f>IFERROR(VALUE(B̳ases!I257),0)</f>
        <v>0</v>
      </c>
      <c r="M259" s="11">
        <f>B̳ases!K257</f>
        <v>0</v>
      </c>
      <c r="N259" s="6"/>
      <c r="O259" s="6"/>
      <c r="P259" s="6"/>
      <c r="Q259" s="6"/>
    </row>
    <row r="260" spans="1:17" ht="16.5" x14ac:dyDescent="0.3">
      <c r="A260" s="8">
        <f>B̳ases!A258</f>
        <v>3487</v>
      </c>
      <c r="B260" s="9" t="str">
        <f>B̳ases!C258</f>
        <v>Ultimate</v>
      </c>
      <c r="C260" s="10">
        <f>B̳ases!D258</f>
        <v>45604</v>
      </c>
      <c r="D260" s="9" t="str">
        <f t="shared" ref="D260:D298" si="8">TEXT(C260,"mmm")</f>
        <v>nov</v>
      </c>
      <c r="E260" s="8">
        <f t="shared" ref="E260:E298" si="9">MONTH(C260)</f>
        <v>11</v>
      </c>
      <c r="F260" s="8">
        <f>IF(B̳ases!E258="Yes",1,0)</f>
        <v>0</v>
      </c>
      <c r="G260" s="8">
        <f>IF(B̳ases!H258="Yes",1,0)</f>
        <v>1</v>
      </c>
      <c r="H260" s="8">
        <f>IF(B̳ases!J258="Yes",1,0)</f>
        <v>1</v>
      </c>
      <c r="I260" s="11">
        <f>B̳ases!M258</f>
        <v>58</v>
      </c>
      <c r="J260" s="11">
        <f>B̳ases!L258</f>
        <v>7</v>
      </c>
      <c r="K260" s="9" t="str">
        <f>B̳ases!G258</f>
        <v>Quarterly</v>
      </c>
      <c r="L260" s="11">
        <f>IFERROR(VALUE(B̳ases!I258),0)</f>
        <v>30</v>
      </c>
      <c r="M260" s="11">
        <f>B̳ases!K258</f>
        <v>20</v>
      </c>
      <c r="N260" s="6"/>
      <c r="O260" s="6"/>
      <c r="P260" s="6"/>
      <c r="Q260" s="6"/>
    </row>
    <row r="261" spans="1:17" ht="16.5" x14ac:dyDescent="0.3">
      <c r="A261" s="8">
        <f>B̳ases!A259</f>
        <v>3488</v>
      </c>
      <c r="B261" s="9" t="str">
        <f>B̳ases!C259</f>
        <v>Standard</v>
      </c>
      <c r="C261" s="10">
        <f>B̳ases!D259</f>
        <v>45605</v>
      </c>
      <c r="D261" s="9" t="str">
        <f t="shared" si="8"/>
        <v>nov</v>
      </c>
      <c r="E261" s="8">
        <f t="shared" si="9"/>
        <v>11</v>
      </c>
      <c r="F261" s="8">
        <f>IF(B̳ases!E259="Yes",1,0)</f>
        <v>1</v>
      </c>
      <c r="G261" s="8">
        <f>IF(B̳ases!H259="Yes",1,0)</f>
        <v>0</v>
      </c>
      <c r="H261" s="8">
        <f>IF(B̳ases!J259="Yes",1,0)</f>
        <v>1</v>
      </c>
      <c r="I261" s="11">
        <f>B̳ases!M259</f>
        <v>20</v>
      </c>
      <c r="J261" s="11">
        <f>B̳ases!L259</f>
        <v>10</v>
      </c>
      <c r="K261" s="9" t="str">
        <f>B̳ases!G259</f>
        <v>Annual</v>
      </c>
      <c r="L261" s="11">
        <f>IFERROR(VALUE(B̳ases!I259),0)</f>
        <v>0</v>
      </c>
      <c r="M261" s="11">
        <f>B̳ases!K259</f>
        <v>20</v>
      </c>
      <c r="N261" s="6"/>
      <c r="O261" s="6"/>
      <c r="P261" s="6"/>
      <c r="Q261" s="6"/>
    </row>
    <row r="262" spans="1:17" ht="16.5" x14ac:dyDescent="0.3">
      <c r="A262" s="8">
        <f>B̳ases!A260</f>
        <v>3489</v>
      </c>
      <c r="B262" s="9" t="str">
        <f>B̳ases!C260</f>
        <v>Core</v>
      </c>
      <c r="C262" s="10">
        <f>B̳ases!D260</f>
        <v>45606</v>
      </c>
      <c r="D262" s="9" t="str">
        <f t="shared" si="8"/>
        <v>nov</v>
      </c>
      <c r="E262" s="8">
        <f t="shared" si="9"/>
        <v>11</v>
      </c>
      <c r="F262" s="8">
        <f>IF(B̳ases!E260="Yes",1,0)</f>
        <v>0</v>
      </c>
      <c r="G262" s="8">
        <f>IF(B̳ases!H260="Yes",1,0)</f>
        <v>0</v>
      </c>
      <c r="H262" s="8">
        <f>IF(B̳ases!J260="Yes",1,0)</f>
        <v>0</v>
      </c>
      <c r="I262" s="11">
        <f>B̳ases!M260</f>
        <v>4</v>
      </c>
      <c r="J262" s="11">
        <f>B̳ases!L260</f>
        <v>1</v>
      </c>
      <c r="K262" s="9" t="str">
        <f>B̳ases!G260</f>
        <v>Quarterly</v>
      </c>
      <c r="L262" s="11">
        <f>IFERROR(VALUE(B̳ases!I260),0)</f>
        <v>0</v>
      </c>
      <c r="M262" s="11">
        <f>B̳ases!K260</f>
        <v>0</v>
      </c>
      <c r="N262" s="6"/>
      <c r="O262" s="6"/>
      <c r="P262" s="6"/>
      <c r="Q262" s="6"/>
    </row>
    <row r="263" spans="1:17" ht="16.5" x14ac:dyDescent="0.3">
      <c r="A263" s="8">
        <f>B̳ases!A261</f>
        <v>3490</v>
      </c>
      <c r="B263" s="9" t="str">
        <f>B̳ases!C261</f>
        <v>Ultimate</v>
      </c>
      <c r="C263" s="10">
        <f>B̳ases!D261</f>
        <v>45607</v>
      </c>
      <c r="D263" s="9" t="str">
        <f t="shared" si="8"/>
        <v>nov</v>
      </c>
      <c r="E263" s="8">
        <f t="shared" si="9"/>
        <v>11</v>
      </c>
      <c r="F263" s="8">
        <f>IF(B̳ases!E261="Yes",1,0)</f>
        <v>1</v>
      </c>
      <c r="G263" s="8">
        <f>IF(B̳ases!H261="Yes",1,0)</f>
        <v>1</v>
      </c>
      <c r="H263" s="8">
        <f>IF(B̳ases!J261="Yes",1,0)</f>
        <v>1</v>
      </c>
      <c r="I263" s="11">
        <f>B̳ases!M261</f>
        <v>50</v>
      </c>
      <c r="J263" s="11">
        <f>B̳ases!L261</f>
        <v>15</v>
      </c>
      <c r="K263" s="9" t="str">
        <f>B̳ases!G261</f>
        <v>Monthly</v>
      </c>
      <c r="L263" s="11">
        <f>IFERROR(VALUE(B̳ases!I261),0)</f>
        <v>30</v>
      </c>
      <c r="M263" s="11">
        <f>B̳ases!K261</f>
        <v>20</v>
      </c>
      <c r="N263" s="6"/>
      <c r="O263" s="6"/>
      <c r="P263" s="6"/>
      <c r="Q263" s="6"/>
    </row>
    <row r="264" spans="1:17" ht="16.5" x14ac:dyDescent="0.3">
      <c r="A264" s="8">
        <f>B̳ases!A262</f>
        <v>3491</v>
      </c>
      <c r="B264" s="9" t="str">
        <f>B̳ases!C262</f>
        <v>Standard</v>
      </c>
      <c r="C264" s="10">
        <f>B̳ases!D262</f>
        <v>45608</v>
      </c>
      <c r="D264" s="9" t="str">
        <f t="shared" si="8"/>
        <v>nov</v>
      </c>
      <c r="E264" s="8">
        <f t="shared" si="9"/>
        <v>11</v>
      </c>
      <c r="F264" s="8">
        <f>IF(B̳ases!E262="Yes",1,0)</f>
        <v>0</v>
      </c>
      <c r="G264" s="8">
        <f>IF(B̳ases!H262="Yes",1,0)</f>
        <v>0</v>
      </c>
      <c r="H264" s="8">
        <f>IF(B̳ases!J262="Yes",1,0)</f>
        <v>1</v>
      </c>
      <c r="I264" s="11">
        <f>B̳ases!M262</f>
        <v>25</v>
      </c>
      <c r="J264" s="11">
        <f>B̳ases!L262</f>
        <v>5</v>
      </c>
      <c r="K264" s="9" t="str">
        <f>B̳ases!G262</f>
        <v>Monthly</v>
      </c>
      <c r="L264" s="11">
        <f>IFERROR(VALUE(B̳ases!I262),0)</f>
        <v>0</v>
      </c>
      <c r="M264" s="11">
        <f>B̳ases!K262</f>
        <v>20</v>
      </c>
      <c r="N264" s="6"/>
      <c r="O264" s="6"/>
      <c r="P264" s="6"/>
      <c r="Q264" s="6"/>
    </row>
    <row r="265" spans="1:17" ht="16.5" x14ac:dyDescent="0.3">
      <c r="A265" s="8">
        <f>B̳ases!A263</f>
        <v>3492</v>
      </c>
      <c r="B265" s="9" t="str">
        <f>B̳ases!C263</f>
        <v>Core</v>
      </c>
      <c r="C265" s="10">
        <f>B̳ases!D263</f>
        <v>45609</v>
      </c>
      <c r="D265" s="9" t="str">
        <f t="shared" si="8"/>
        <v>nov</v>
      </c>
      <c r="E265" s="8">
        <f t="shared" si="9"/>
        <v>11</v>
      </c>
      <c r="F265" s="8">
        <f>IF(B̳ases!E263="Yes",1,0)</f>
        <v>1</v>
      </c>
      <c r="G265" s="8">
        <f>IF(B̳ases!H263="Yes",1,0)</f>
        <v>0</v>
      </c>
      <c r="H265" s="8">
        <f>IF(B̳ases!J263="Yes",1,0)</f>
        <v>0</v>
      </c>
      <c r="I265" s="11">
        <f>B̳ases!M263</f>
        <v>5</v>
      </c>
      <c r="J265" s="11">
        <f>B̳ases!L263</f>
        <v>0</v>
      </c>
      <c r="K265" s="9" t="str">
        <f>B̳ases!G263</f>
        <v>Annual</v>
      </c>
      <c r="L265" s="11">
        <f>IFERROR(VALUE(B̳ases!I263),0)</f>
        <v>0</v>
      </c>
      <c r="M265" s="11">
        <f>B̳ases!K263</f>
        <v>0</v>
      </c>
      <c r="N265" s="6"/>
      <c r="O265" s="6"/>
      <c r="P265" s="6"/>
      <c r="Q265" s="6"/>
    </row>
    <row r="266" spans="1:17" ht="16.5" x14ac:dyDescent="0.3">
      <c r="A266" s="8">
        <f>B̳ases!A264</f>
        <v>3493</v>
      </c>
      <c r="B266" s="9" t="str">
        <f>B̳ases!C264</f>
        <v>Ultimate</v>
      </c>
      <c r="C266" s="10">
        <f>B̳ases!D264</f>
        <v>45610</v>
      </c>
      <c r="D266" s="9" t="str">
        <f t="shared" si="8"/>
        <v>nov</v>
      </c>
      <c r="E266" s="8">
        <f t="shared" si="9"/>
        <v>11</v>
      </c>
      <c r="F266" s="8">
        <f>IF(B̳ases!E264="Yes",1,0)</f>
        <v>0</v>
      </c>
      <c r="G266" s="8">
        <f>IF(B̳ases!H264="Yes",1,0)</f>
        <v>1</v>
      </c>
      <c r="H266" s="8">
        <f>IF(B̳ases!J264="Yes",1,0)</f>
        <v>1</v>
      </c>
      <c r="I266" s="11">
        <f>B̳ases!M264</f>
        <v>45</v>
      </c>
      <c r="J266" s="11">
        <f>B̳ases!L264</f>
        <v>20</v>
      </c>
      <c r="K266" s="9" t="str">
        <f>B̳ases!G264</f>
        <v>Quarterly</v>
      </c>
      <c r="L266" s="11">
        <f>IFERROR(VALUE(B̳ases!I264),0)</f>
        <v>30</v>
      </c>
      <c r="M266" s="11">
        <f>B̳ases!K264</f>
        <v>20</v>
      </c>
      <c r="N266" s="6"/>
      <c r="O266" s="6"/>
      <c r="P266" s="6"/>
      <c r="Q266" s="6"/>
    </row>
    <row r="267" spans="1:17" ht="16.5" x14ac:dyDescent="0.3">
      <c r="A267" s="8">
        <f>B̳ases!A265</f>
        <v>3494</v>
      </c>
      <c r="B267" s="9" t="str">
        <f>B̳ases!C265</f>
        <v>Standard</v>
      </c>
      <c r="C267" s="10">
        <f>B̳ases!D265</f>
        <v>45611</v>
      </c>
      <c r="D267" s="9" t="str">
        <f t="shared" si="8"/>
        <v>nov</v>
      </c>
      <c r="E267" s="8">
        <f t="shared" si="9"/>
        <v>11</v>
      </c>
      <c r="F267" s="8">
        <f>IF(B̳ases!E265="Yes",1,0)</f>
        <v>1</v>
      </c>
      <c r="G267" s="8">
        <f>IF(B̳ases!H265="Yes",1,0)</f>
        <v>0</v>
      </c>
      <c r="H267" s="8">
        <f>IF(B̳ases!J265="Yes",1,0)</f>
        <v>1</v>
      </c>
      <c r="I267" s="11">
        <f>B̳ases!M265</f>
        <v>18</v>
      </c>
      <c r="J267" s="11">
        <f>B̳ases!L265</f>
        <v>12</v>
      </c>
      <c r="K267" s="9" t="str">
        <f>B̳ases!G265</f>
        <v>Quarterly</v>
      </c>
      <c r="L267" s="11">
        <f>IFERROR(VALUE(B̳ases!I265),0)</f>
        <v>0</v>
      </c>
      <c r="M267" s="11">
        <f>B̳ases!K265</f>
        <v>20</v>
      </c>
      <c r="N267" s="6"/>
      <c r="O267" s="6"/>
      <c r="P267" s="6"/>
      <c r="Q267" s="6"/>
    </row>
    <row r="268" spans="1:17" ht="16.5" x14ac:dyDescent="0.3">
      <c r="A268" s="8">
        <f>B̳ases!A266</f>
        <v>3495</v>
      </c>
      <c r="B268" s="9" t="str">
        <f>B̳ases!C266</f>
        <v>Core</v>
      </c>
      <c r="C268" s="10">
        <f>B̳ases!D266</f>
        <v>45612</v>
      </c>
      <c r="D268" s="9" t="str">
        <f t="shared" si="8"/>
        <v>nov</v>
      </c>
      <c r="E268" s="8">
        <f t="shared" si="9"/>
        <v>11</v>
      </c>
      <c r="F268" s="8">
        <f>IF(B̳ases!E266="Yes",1,0)</f>
        <v>0</v>
      </c>
      <c r="G268" s="8">
        <f>IF(B̳ases!H266="Yes",1,0)</f>
        <v>0</v>
      </c>
      <c r="H268" s="8">
        <f>IF(B̳ases!J266="Yes",1,0)</f>
        <v>0</v>
      </c>
      <c r="I268" s="11">
        <f>B̳ases!M266</f>
        <v>3</v>
      </c>
      <c r="J268" s="11">
        <f>B̳ases!L266</f>
        <v>2</v>
      </c>
      <c r="K268" s="9" t="str">
        <f>B̳ases!G266</f>
        <v>Monthly</v>
      </c>
      <c r="L268" s="11">
        <f>IFERROR(VALUE(B̳ases!I266),0)</f>
        <v>0</v>
      </c>
      <c r="M268" s="11">
        <f>B̳ases!K266</f>
        <v>0</v>
      </c>
      <c r="N268" s="6"/>
      <c r="O268" s="6"/>
      <c r="P268" s="6"/>
      <c r="Q268" s="6"/>
    </row>
    <row r="269" spans="1:17" ht="16.5" x14ac:dyDescent="0.3">
      <c r="A269" s="8">
        <f>B̳ases!A267</f>
        <v>3496</v>
      </c>
      <c r="B269" s="9" t="str">
        <f>B̳ases!C267</f>
        <v>Ultimate</v>
      </c>
      <c r="C269" s="10">
        <f>B̳ases!D267</f>
        <v>45613</v>
      </c>
      <c r="D269" s="9" t="str">
        <f t="shared" si="8"/>
        <v>nov</v>
      </c>
      <c r="E269" s="8">
        <f t="shared" si="9"/>
        <v>11</v>
      </c>
      <c r="F269" s="8">
        <f>IF(B̳ases!E267="Yes",1,0)</f>
        <v>1</v>
      </c>
      <c r="G269" s="8">
        <f>IF(B̳ases!H267="Yes",1,0)</f>
        <v>1</v>
      </c>
      <c r="H269" s="8">
        <f>IF(B̳ases!J267="Yes",1,0)</f>
        <v>1</v>
      </c>
      <c r="I269" s="11">
        <f>B̳ases!M267</f>
        <v>60</v>
      </c>
      <c r="J269" s="11">
        <f>B̳ases!L267</f>
        <v>5</v>
      </c>
      <c r="K269" s="9" t="str">
        <f>B̳ases!G267</f>
        <v>Annual</v>
      </c>
      <c r="L269" s="11">
        <f>IFERROR(VALUE(B̳ases!I267),0)</f>
        <v>30</v>
      </c>
      <c r="M269" s="11">
        <f>B̳ases!K267</f>
        <v>20</v>
      </c>
      <c r="N269" s="6"/>
      <c r="O269" s="6"/>
      <c r="P269" s="6"/>
      <c r="Q269" s="6"/>
    </row>
    <row r="270" spans="1:17" ht="16.5" x14ac:dyDescent="0.3">
      <c r="A270" s="8">
        <f>B̳ases!A268</f>
        <v>3497</v>
      </c>
      <c r="B270" s="9" t="str">
        <f>B̳ases!C268</f>
        <v>Standard</v>
      </c>
      <c r="C270" s="10">
        <f>B̳ases!D268</f>
        <v>45614</v>
      </c>
      <c r="D270" s="9" t="str">
        <f t="shared" si="8"/>
        <v>nov</v>
      </c>
      <c r="E270" s="8">
        <f t="shared" si="9"/>
        <v>11</v>
      </c>
      <c r="F270" s="8">
        <f>IF(B̳ases!E268="Yes",1,0)</f>
        <v>0</v>
      </c>
      <c r="G270" s="8">
        <f>IF(B̳ases!H268="Yes",1,0)</f>
        <v>0</v>
      </c>
      <c r="H270" s="8">
        <f>IF(B̳ases!J268="Yes",1,0)</f>
        <v>1</v>
      </c>
      <c r="I270" s="11">
        <f>B̳ases!M268</f>
        <v>20</v>
      </c>
      <c r="J270" s="11">
        <f>B̳ases!L268</f>
        <v>10</v>
      </c>
      <c r="K270" s="9" t="str">
        <f>B̳ases!G268</f>
        <v>Monthly</v>
      </c>
      <c r="L270" s="11">
        <f>IFERROR(VALUE(B̳ases!I268),0)</f>
        <v>0</v>
      </c>
      <c r="M270" s="11">
        <f>B̳ases!K268</f>
        <v>20</v>
      </c>
      <c r="N270" s="6"/>
      <c r="O270" s="6"/>
      <c r="P270" s="6"/>
      <c r="Q270" s="6"/>
    </row>
    <row r="271" spans="1:17" ht="16.5" x14ac:dyDescent="0.3">
      <c r="A271" s="8">
        <f>B̳ases!A269</f>
        <v>3498</v>
      </c>
      <c r="B271" s="9" t="str">
        <f>B̳ases!C269</f>
        <v>Core</v>
      </c>
      <c r="C271" s="10">
        <f>B̳ases!D269</f>
        <v>45615</v>
      </c>
      <c r="D271" s="9" t="str">
        <f t="shared" si="8"/>
        <v>nov</v>
      </c>
      <c r="E271" s="8">
        <f t="shared" si="9"/>
        <v>11</v>
      </c>
      <c r="F271" s="8">
        <f>IF(B̳ases!E269="Yes",1,0)</f>
        <v>1</v>
      </c>
      <c r="G271" s="8">
        <f>IF(B̳ases!H269="Yes",1,0)</f>
        <v>0</v>
      </c>
      <c r="H271" s="8">
        <f>IF(B̳ases!J269="Yes",1,0)</f>
        <v>0</v>
      </c>
      <c r="I271" s="11">
        <f>B̳ases!M269</f>
        <v>5</v>
      </c>
      <c r="J271" s="11">
        <f>B̳ases!L269</f>
        <v>0</v>
      </c>
      <c r="K271" s="9" t="str">
        <f>B̳ases!G269</f>
        <v>Quarterly</v>
      </c>
      <c r="L271" s="11">
        <f>IFERROR(VALUE(B̳ases!I269),0)</f>
        <v>0</v>
      </c>
      <c r="M271" s="11">
        <f>B̳ases!K269</f>
        <v>0</v>
      </c>
      <c r="N271" s="6"/>
      <c r="O271" s="6"/>
      <c r="P271" s="6"/>
      <c r="Q271" s="6"/>
    </row>
    <row r="272" spans="1:17" ht="16.5" x14ac:dyDescent="0.3">
      <c r="A272" s="8">
        <f>B̳ases!A270</f>
        <v>3499</v>
      </c>
      <c r="B272" s="9" t="str">
        <f>B̳ases!C270</f>
        <v>Ultimate</v>
      </c>
      <c r="C272" s="10">
        <f>B̳ases!D270</f>
        <v>45616</v>
      </c>
      <c r="D272" s="9" t="str">
        <f t="shared" si="8"/>
        <v>nov</v>
      </c>
      <c r="E272" s="8">
        <f t="shared" si="9"/>
        <v>11</v>
      </c>
      <c r="F272" s="8">
        <f>IF(B̳ases!E270="Yes",1,0)</f>
        <v>0</v>
      </c>
      <c r="G272" s="8">
        <f>IF(B̳ases!H270="Yes",1,0)</f>
        <v>1</v>
      </c>
      <c r="H272" s="8">
        <f>IF(B̳ases!J270="Yes",1,0)</f>
        <v>1</v>
      </c>
      <c r="I272" s="11">
        <f>B̳ases!M270</f>
        <v>62</v>
      </c>
      <c r="J272" s="11">
        <f>B̳ases!L270</f>
        <v>3</v>
      </c>
      <c r="K272" s="9" t="str">
        <f>B̳ases!G270</f>
        <v>Monthly</v>
      </c>
      <c r="L272" s="11">
        <f>IFERROR(VALUE(B̳ases!I270),0)</f>
        <v>30</v>
      </c>
      <c r="M272" s="11">
        <f>B̳ases!K270</f>
        <v>20</v>
      </c>
      <c r="N272" s="6"/>
      <c r="O272" s="6"/>
      <c r="P272" s="6"/>
      <c r="Q272" s="6"/>
    </row>
    <row r="273" spans="1:17" ht="16.5" x14ac:dyDescent="0.3">
      <c r="A273" s="8">
        <f>B̳ases!A271</f>
        <v>3500</v>
      </c>
      <c r="B273" s="9" t="str">
        <f>B̳ases!C271</f>
        <v>Standard</v>
      </c>
      <c r="C273" s="10">
        <f>B̳ases!D271</f>
        <v>45617</v>
      </c>
      <c r="D273" s="9" t="str">
        <f t="shared" si="8"/>
        <v>nov</v>
      </c>
      <c r="E273" s="8">
        <f t="shared" si="9"/>
        <v>11</v>
      </c>
      <c r="F273" s="8">
        <f>IF(B̳ases!E271="Yes",1,0)</f>
        <v>1</v>
      </c>
      <c r="G273" s="8">
        <f>IF(B̳ases!H271="Yes",1,0)</f>
        <v>0</v>
      </c>
      <c r="H273" s="8">
        <f>IF(B̳ases!J271="Yes",1,0)</f>
        <v>1</v>
      </c>
      <c r="I273" s="11">
        <f>B̳ases!M271</f>
        <v>15</v>
      </c>
      <c r="J273" s="11">
        <f>B̳ases!L271</f>
        <v>15</v>
      </c>
      <c r="K273" s="9" t="str">
        <f>B̳ases!G271</f>
        <v>Annual</v>
      </c>
      <c r="L273" s="11">
        <f>IFERROR(VALUE(B̳ases!I271),0)</f>
        <v>0</v>
      </c>
      <c r="M273" s="11">
        <f>B̳ases!K271</f>
        <v>20</v>
      </c>
      <c r="N273" s="6"/>
      <c r="O273" s="6"/>
      <c r="P273" s="6"/>
      <c r="Q273" s="6"/>
    </row>
    <row r="274" spans="1:17" ht="16.5" x14ac:dyDescent="0.3">
      <c r="A274" s="8">
        <f>B̳ases!A272</f>
        <v>3501</v>
      </c>
      <c r="B274" s="9" t="str">
        <f>B̳ases!C272</f>
        <v>Core</v>
      </c>
      <c r="C274" s="10">
        <f>B̳ases!D272</f>
        <v>45618</v>
      </c>
      <c r="D274" s="9" t="str">
        <f t="shared" si="8"/>
        <v>nov</v>
      </c>
      <c r="E274" s="8">
        <f t="shared" si="9"/>
        <v>11</v>
      </c>
      <c r="F274" s="8">
        <f>IF(B̳ases!E272="Yes",1,0)</f>
        <v>0</v>
      </c>
      <c r="G274" s="8">
        <f>IF(B̳ases!H272="Yes",1,0)</f>
        <v>0</v>
      </c>
      <c r="H274" s="8">
        <f>IF(B̳ases!J272="Yes",1,0)</f>
        <v>0</v>
      </c>
      <c r="I274" s="11">
        <f>B̳ases!M272</f>
        <v>4</v>
      </c>
      <c r="J274" s="11">
        <f>B̳ases!L272</f>
        <v>1</v>
      </c>
      <c r="K274" s="9" t="str">
        <f>B̳ases!G272</f>
        <v>Monthly</v>
      </c>
      <c r="L274" s="11">
        <f>IFERROR(VALUE(B̳ases!I272),0)</f>
        <v>0</v>
      </c>
      <c r="M274" s="11">
        <f>B̳ases!K272</f>
        <v>0</v>
      </c>
      <c r="N274" s="6"/>
      <c r="O274" s="6"/>
      <c r="P274" s="6"/>
      <c r="Q274" s="6"/>
    </row>
    <row r="275" spans="1:17" ht="16.5" x14ac:dyDescent="0.3">
      <c r="A275" s="8">
        <f>B̳ases!A273</f>
        <v>3502</v>
      </c>
      <c r="B275" s="9" t="str">
        <f>B̳ases!C273</f>
        <v>Ultimate</v>
      </c>
      <c r="C275" s="10">
        <f>B̳ases!D273</f>
        <v>45619</v>
      </c>
      <c r="D275" s="9" t="str">
        <f t="shared" si="8"/>
        <v>nov</v>
      </c>
      <c r="E275" s="8">
        <f t="shared" si="9"/>
        <v>11</v>
      </c>
      <c r="F275" s="8">
        <f>IF(B̳ases!E273="Yes",1,0)</f>
        <v>1</v>
      </c>
      <c r="G275" s="8">
        <f>IF(B̳ases!H273="Yes",1,0)</f>
        <v>1</v>
      </c>
      <c r="H275" s="8">
        <f>IF(B̳ases!J273="Yes",1,0)</f>
        <v>1</v>
      </c>
      <c r="I275" s="11">
        <f>B̳ases!M273</f>
        <v>58</v>
      </c>
      <c r="J275" s="11">
        <f>B̳ases!L273</f>
        <v>7</v>
      </c>
      <c r="K275" s="9" t="str">
        <f>B̳ases!G273</f>
        <v>Quarterly</v>
      </c>
      <c r="L275" s="11">
        <f>IFERROR(VALUE(B̳ases!I273),0)</f>
        <v>30</v>
      </c>
      <c r="M275" s="11">
        <f>B̳ases!K273</f>
        <v>20</v>
      </c>
      <c r="N275" s="6"/>
      <c r="O275" s="6"/>
      <c r="P275" s="6"/>
      <c r="Q275" s="6"/>
    </row>
    <row r="276" spans="1:17" ht="16.5" x14ac:dyDescent="0.3">
      <c r="A276" s="8">
        <f>B̳ases!A274</f>
        <v>3503</v>
      </c>
      <c r="B276" s="9" t="str">
        <f>B̳ases!C274</f>
        <v>Standard</v>
      </c>
      <c r="C276" s="10">
        <f>B̳ases!D274</f>
        <v>45620</v>
      </c>
      <c r="D276" s="9" t="str">
        <f t="shared" si="8"/>
        <v>nov</v>
      </c>
      <c r="E276" s="8">
        <f t="shared" si="9"/>
        <v>11</v>
      </c>
      <c r="F276" s="8">
        <f>IF(B̳ases!E274="Yes",1,0)</f>
        <v>0</v>
      </c>
      <c r="G276" s="8">
        <f>IF(B̳ases!H274="Yes",1,0)</f>
        <v>0</v>
      </c>
      <c r="H276" s="8">
        <f>IF(B̳ases!J274="Yes",1,0)</f>
        <v>1</v>
      </c>
      <c r="I276" s="11">
        <f>B̳ases!M274</f>
        <v>20</v>
      </c>
      <c r="J276" s="11">
        <f>B̳ases!L274</f>
        <v>10</v>
      </c>
      <c r="K276" s="9" t="str">
        <f>B̳ases!G274</f>
        <v>Monthly</v>
      </c>
      <c r="L276" s="11">
        <f>IFERROR(VALUE(B̳ases!I274),0)</f>
        <v>0</v>
      </c>
      <c r="M276" s="11">
        <f>B̳ases!K274</f>
        <v>20</v>
      </c>
      <c r="N276" s="6"/>
      <c r="O276" s="6"/>
      <c r="P276" s="6"/>
      <c r="Q276" s="6"/>
    </row>
    <row r="277" spans="1:17" ht="16.5" x14ac:dyDescent="0.3">
      <c r="A277" s="8">
        <f>B̳ases!A275</f>
        <v>3504</v>
      </c>
      <c r="B277" s="9" t="str">
        <f>B̳ases!C275</f>
        <v>Core</v>
      </c>
      <c r="C277" s="10">
        <f>B̳ases!D275</f>
        <v>45621</v>
      </c>
      <c r="D277" s="9" t="str">
        <f t="shared" si="8"/>
        <v>nov</v>
      </c>
      <c r="E277" s="8">
        <f t="shared" si="9"/>
        <v>11</v>
      </c>
      <c r="F277" s="8">
        <f>IF(B̳ases!E275="Yes",1,0)</f>
        <v>1</v>
      </c>
      <c r="G277" s="8">
        <f>IF(B̳ases!H275="Yes",1,0)</f>
        <v>0</v>
      </c>
      <c r="H277" s="8">
        <f>IF(B̳ases!J275="Yes",1,0)</f>
        <v>0</v>
      </c>
      <c r="I277" s="11">
        <f>B̳ases!M275</f>
        <v>5</v>
      </c>
      <c r="J277" s="11">
        <f>B̳ases!L275</f>
        <v>0</v>
      </c>
      <c r="K277" s="9" t="str">
        <f>B̳ases!G275</f>
        <v>Annual</v>
      </c>
      <c r="L277" s="11">
        <f>IFERROR(VALUE(B̳ases!I275),0)</f>
        <v>0</v>
      </c>
      <c r="M277" s="11">
        <f>B̳ases!K275</f>
        <v>0</v>
      </c>
      <c r="N277" s="6"/>
      <c r="O277" s="6"/>
      <c r="P277" s="6"/>
      <c r="Q277" s="6"/>
    </row>
    <row r="278" spans="1:17" ht="16.5" x14ac:dyDescent="0.3">
      <c r="A278" s="8">
        <f>B̳ases!A276</f>
        <v>3505</v>
      </c>
      <c r="B278" s="9" t="str">
        <f>B̳ases!C276</f>
        <v>Ultimate</v>
      </c>
      <c r="C278" s="10">
        <f>B̳ases!D276</f>
        <v>45622</v>
      </c>
      <c r="D278" s="9" t="str">
        <f t="shared" si="8"/>
        <v>nov</v>
      </c>
      <c r="E278" s="8">
        <f t="shared" si="9"/>
        <v>11</v>
      </c>
      <c r="F278" s="8">
        <f>IF(B̳ases!E276="Yes",1,0)</f>
        <v>0</v>
      </c>
      <c r="G278" s="8">
        <f>IF(B̳ases!H276="Yes",1,0)</f>
        <v>1</v>
      </c>
      <c r="H278" s="8">
        <f>IF(B̳ases!J276="Yes",1,0)</f>
        <v>1</v>
      </c>
      <c r="I278" s="11">
        <f>B̳ases!M276</f>
        <v>45</v>
      </c>
      <c r="J278" s="11">
        <f>B̳ases!L276</f>
        <v>20</v>
      </c>
      <c r="K278" s="9" t="str">
        <f>B̳ases!G276</f>
        <v>Monthly</v>
      </c>
      <c r="L278" s="11">
        <f>IFERROR(VALUE(B̳ases!I276),0)</f>
        <v>30</v>
      </c>
      <c r="M278" s="11">
        <f>B̳ases!K276</f>
        <v>20</v>
      </c>
      <c r="N278" s="6"/>
      <c r="O278" s="6"/>
      <c r="P278" s="6"/>
      <c r="Q278" s="6"/>
    </row>
    <row r="279" spans="1:17" ht="16.5" x14ac:dyDescent="0.3">
      <c r="A279" s="8">
        <f>B̳ases!A277</f>
        <v>3506</v>
      </c>
      <c r="B279" s="9" t="str">
        <f>B̳ases!C277</f>
        <v>Standard</v>
      </c>
      <c r="C279" s="10">
        <f>B̳ases!D277</f>
        <v>45623</v>
      </c>
      <c r="D279" s="9" t="str">
        <f t="shared" si="8"/>
        <v>nov</v>
      </c>
      <c r="E279" s="8">
        <f t="shared" si="9"/>
        <v>11</v>
      </c>
      <c r="F279" s="8">
        <f>IF(B̳ases!E277="Yes",1,0)</f>
        <v>1</v>
      </c>
      <c r="G279" s="8">
        <f>IF(B̳ases!H277="Yes",1,0)</f>
        <v>0</v>
      </c>
      <c r="H279" s="8">
        <f>IF(B̳ases!J277="Yes",1,0)</f>
        <v>1</v>
      </c>
      <c r="I279" s="11">
        <f>B̳ases!M277</f>
        <v>15</v>
      </c>
      <c r="J279" s="11">
        <f>B̳ases!L277</f>
        <v>15</v>
      </c>
      <c r="K279" s="9" t="str">
        <f>B̳ases!G277</f>
        <v>Quarterly</v>
      </c>
      <c r="L279" s="11">
        <f>IFERROR(VALUE(B̳ases!I277),0)</f>
        <v>0</v>
      </c>
      <c r="M279" s="11">
        <f>B̳ases!K277</f>
        <v>20</v>
      </c>
      <c r="N279" s="6"/>
      <c r="O279" s="6"/>
      <c r="P279" s="6"/>
      <c r="Q279" s="6"/>
    </row>
    <row r="280" spans="1:17" ht="16.5" x14ac:dyDescent="0.3">
      <c r="A280" s="8">
        <f>B̳ases!A278</f>
        <v>3507</v>
      </c>
      <c r="B280" s="9" t="str">
        <f>B̳ases!C278</f>
        <v>Core</v>
      </c>
      <c r="C280" s="10">
        <f>B̳ases!D278</f>
        <v>45624</v>
      </c>
      <c r="D280" s="9" t="str">
        <f t="shared" si="8"/>
        <v>nov</v>
      </c>
      <c r="E280" s="8">
        <f t="shared" si="9"/>
        <v>11</v>
      </c>
      <c r="F280" s="8">
        <f>IF(B̳ases!E278="Yes",1,0)</f>
        <v>0</v>
      </c>
      <c r="G280" s="8">
        <f>IF(B̳ases!H278="Yes",1,0)</f>
        <v>0</v>
      </c>
      <c r="H280" s="8">
        <f>IF(B̳ases!J278="Yes",1,0)</f>
        <v>0</v>
      </c>
      <c r="I280" s="11">
        <f>B̳ases!M278</f>
        <v>4</v>
      </c>
      <c r="J280" s="11">
        <f>B̳ases!L278</f>
        <v>1</v>
      </c>
      <c r="K280" s="9" t="str">
        <f>B̳ases!G278</f>
        <v>Monthly</v>
      </c>
      <c r="L280" s="11">
        <f>IFERROR(VALUE(B̳ases!I278),0)</f>
        <v>0</v>
      </c>
      <c r="M280" s="11">
        <f>B̳ases!K278</f>
        <v>0</v>
      </c>
      <c r="N280" s="6"/>
      <c r="O280" s="6"/>
      <c r="P280" s="6"/>
      <c r="Q280" s="6"/>
    </row>
    <row r="281" spans="1:17" ht="16.5" x14ac:dyDescent="0.3">
      <c r="A281" s="8">
        <f>B̳ases!A279</f>
        <v>3508</v>
      </c>
      <c r="B281" s="9" t="str">
        <f>B̳ases!C279</f>
        <v>Ultimate</v>
      </c>
      <c r="C281" s="10">
        <f>B̳ases!D279</f>
        <v>45625</v>
      </c>
      <c r="D281" s="9" t="str">
        <f t="shared" si="8"/>
        <v>nov</v>
      </c>
      <c r="E281" s="8">
        <f t="shared" si="9"/>
        <v>11</v>
      </c>
      <c r="F281" s="8">
        <f>IF(B̳ases!E279="Yes",1,0)</f>
        <v>1</v>
      </c>
      <c r="G281" s="8">
        <f>IF(B̳ases!H279="Yes",1,0)</f>
        <v>1</v>
      </c>
      <c r="H281" s="8">
        <f>IF(B̳ases!J279="Yes",1,0)</f>
        <v>1</v>
      </c>
      <c r="I281" s="11">
        <f>B̳ases!M279</f>
        <v>62</v>
      </c>
      <c r="J281" s="11">
        <f>B̳ases!L279</f>
        <v>3</v>
      </c>
      <c r="K281" s="9" t="str">
        <f>B̳ases!G279</f>
        <v>Annual</v>
      </c>
      <c r="L281" s="11">
        <f>IFERROR(VALUE(B̳ases!I279),0)</f>
        <v>30</v>
      </c>
      <c r="M281" s="11">
        <f>B̳ases!K279</f>
        <v>20</v>
      </c>
      <c r="N281" s="6"/>
      <c r="O281" s="6"/>
      <c r="P281" s="6"/>
      <c r="Q281" s="6"/>
    </row>
    <row r="282" spans="1:17" ht="16.5" x14ac:dyDescent="0.3">
      <c r="A282" s="8">
        <f>B̳ases!A280</f>
        <v>3509</v>
      </c>
      <c r="B282" s="9" t="str">
        <f>B̳ases!C280</f>
        <v>Standard</v>
      </c>
      <c r="C282" s="10">
        <f>B̳ases!D280</f>
        <v>45626</v>
      </c>
      <c r="D282" s="9" t="str">
        <f t="shared" si="8"/>
        <v>nov</v>
      </c>
      <c r="E282" s="8">
        <f t="shared" si="9"/>
        <v>11</v>
      </c>
      <c r="F282" s="8">
        <f>IF(B̳ases!E280="Yes",1,0)</f>
        <v>0</v>
      </c>
      <c r="G282" s="8">
        <f>IF(B̳ases!H280="Yes",1,0)</f>
        <v>0</v>
      </c>
      <c r="H282" s="8">
        <f>IF(B̳ases!J280="Yes",1,0)</f>
        <v>1</v>
      </c>
      <c r="I282" s="11">
        <f>B̳ases!M280</f>
        <v>20</v>
      </c>
      <c r="J282" s="11">
        <f>B̳ases!L280</f>
        <v>10</v>
      </c>
      <c r="K282" s="9" t="str">
        <f>B̳ases!G280</f>
        <v>Monthly</v>
      </c>
      <c r="L282" s="11">
        <f>IFERROR(VALUE(B̳ases!I280),0)</f>
        <v>0</v>
      </c>
      <c r="M282" s="11">
        <f>B̳ases!K280</f>
        <v>20</v>
      </c>
      <c r="N282" s="6"/>
      <c r="O282" s="6"/>
      <c r="P282" s="6"/>
      <c r="Q282" s="6"/>
    </row>
    <row r="283" spans="1:17" ht="16.5" x14ac:dyDescent="0.3">
      <c r="A283" s="8">
        <f>B̳ases!A281</f>
        <v>3510</v>
      </c>
      <c r="B283" s="9" t="str">
        <f>B̳ases!C281</f>
        <v>Core</v>
      </c>
      <c r="C283" s="10">
        <f>B̳ases!D281</f>
        <v>45627</v>
      </c>
      <c r="D283" s="9" t="str">
        <f t="shared" si="8"/>
        <v>dez</v>
      </c>
      <c r="E283" s="8">
        <f t="shared" si="9"/>
        <v>12</v>
      </c>
      <c r="F283" s="8">
        <f>IF(B̳ases!E281="Yes",1,0)</f>
        <v>1</v>
      </c>
      <c r="G283" s="8">
        <f>IF(B̳ases!H281="Yes",1,0)</f>
        <v>0</v>
      </c>
      <c r="H283" s="8">
        <f>IF(B̳ases!J281="Yes",1,0)</f>
        <v>0</v>
      </c>
      <c r="I283" s="11">
        <f>B̳ases!M281</f>
        <v>5</v>
      </c>
      <c r="J283" s="11">
        <f>B̳ases!L281</f>
        <v>0</v>
      </c>
      <c r="K283" s="9" t="str">
        <f>B̳ases!G281</f>
        <v>Quarterly</v>
      </c>
      <c r="L283" s="11">
        <f>IFERROR(VALUE(B̳ases!I281),0)</f>
        <v>0</v>
      </c>
      <c r="M283" s="11">
        <f>B̳ases!K281</f>
        <v>0</v>
      </c>
      <c r="N283" s="6"/>
      <c r="O283" s="6"/>
      <c r="P283" s="6"/>
      <c r="Q283" s="6"/>
    </row>
    <row r="284" spans="1:17" ht="16.5" x14ac:dyDescent="0.3">
      <c r="A284" s="8">
        <f>B̳ases!A282</f>
        <v>3511</v>
      </c>
      <c r="B284" s="9" t="str">
        <f>B̳ases!C282</f>
        <v>Ultimate</v>
      </c>
      <c r="C284" s="10">
        <f>B̳ases!D282</f>
        <v>45628</v>
      </c>
      <c r="D284" s="9" t="str">
        <f t="shared" si="8"/>
        <v>dez</v>
      </c>
      <c r="E284" s="8">
        <f t="shared" si="9"/>
        <v>12</v>
      </c>
      <c r="F284" s="8">
        <f>IF(B̳ases!E282="Yes",1,0)</f>
        <v>0</v>
      </c>
      <c r="G284" s="8">
        <f>IF(B̳ases!H282="Yes",1,0)</f>
        <v>1</v>
      </c>
      <c r="H284" s="8">
        <f>IF(B̳ases!J282="Yes",1,0)</f>
        <v>1</v>
      </c>
      <c r="I284" s="11">
        <f>B̳ases!M282</f>
        <v>50</v>
      </c>
      <c r="J284" s="11">
        <f>B̳ases!L282</f>
        <v>15</v>
      </c>
      <c r="K284" s="9" t="str">
        <f>B̳ases!G282</f>
        <v>Monthly</v>
      </c>
      <c r="L284" s="11">
        <f>IFERROR(VALUE(B̳ases!I282),0)</f>
        <v>30</v>
      </c>
      <c r="M284" s="11">
        <f>B̳ases!K282</f>
        <v>20</v>
      </c>
      <c r="N284" s="6"/>
      <c r="O284" s="6"/>
      <c r="P284" s="6"/>
      <c r="Q284" s="6"/>
    </row>
    <row r="285" spans="1:17" ht="16.5" x14ac:dyDescent="0.3">
      <c r="A285" s="8">
        <f>B̳ases!A283</f>
        <v>3512</v>
      </c>
      <c r="B285" s="9" t="str">
        <f>B̳ases!C283</f>
        <v>Standard</v>
      </c>
      <c r="C285" s="10">
        <f>B̳ases!D283</f>
        <v>45629</v>
      </c>
      <c r="D285" s="9" t="str">
        <f t="shared" si="8"/>
        <v>dez</v>
      </c>
      <c r="E285" s="8">
        <f t="shared" si="9"/>
        <v>12</v>
      </c>
      <c r="F285" s="8">
        <f>IF(B̳ases!E283="Yes",1,0)</f>
        <v>1</v>
      </c>
      <c r="G285" s="8">
        <f>IF(B̳ases!H283="Yes",1,0)</f>
        <v>0</v>
      </c>
      <c r="H285" s="8">
        <f>IF(B̳ases!J283="Yes",1,0)</f>
        <v>1</v>
      </c>
      <c r="I285" s="11">
        <f>B̳ases!M283</f>
        <v>15</v>
      </c>
      <c r="J285" s="11">
        <f>B̳ases!L283</f>
        <v>15</v>
      </c>
      <c r="K285" s="9" t="str">
        <f>B̳ases!G283</f>
        <v>Annual</v>
      </c>
      <c r="L285" s="11">
        <f>IFERROR(VALUE(B̳ases!I283),0)</f>
        <v>0</v>
      </c>
      <c r="M285" s="11">
        <f>B̳ases!K283</f>
        <v>20</v>
      </c>
      <c r="N285" s="6"/>
      <c r="O285" s="6"/>
      <c r="P285" s="6"/>
      <c r="Q285" s="6"/>
    </row>
    <row r="286" spans="1:17" ht="16.5" x14ac:dyDescent="0.3">
      <c r="A286" s="8">
        <f>B̳ases!A284</f>
        <v>3513</v>
      </c>
      <c r="B286" s="9" t="str">
        <f>B̳ases!C284</f>
        <v>Core</v>
      </c>
      <c r="C286" s="10">
        <f>B̳ases!D284</f>
        <v>45630</v>
      </c>
      <c r="D286" s="9" t="str">
        <f t="shared" si="8"/>
        <v>dez</v>
      </c>
      <c r="E286" s="8">
        <f t="shared" si="9"/>
        <v>12</v>
      </c>
      <c r="F286" s="8">
        <f>IF(B̳ases!E284="Yes",1,0)</f>
        <v>0</v>
      </c>
      <c r="G286" s="8">
        <f>IF(B̳ases!H284="Yes",1,0)</f>
        <v>0</v>
      </c>
      <c r="H286" s="8">
        <f>IF(B̳ases!J284="Yes",1,0)</f>
        <v>0</v>
      </c>
      <c r="I286" s="11">
        <f>B̳ases!M284</f>
        <v>4</v>
      </c>
      <c r="J286" s="11">
        <f>B̳ases!L284</f>
        <v>1</v>
      </c>
      <c r="K286" s="9" t="str">
        <f>B̳ases!G284</f>
        <v>Monthly</v>
      </c>
      <c r="L286" s="11">
        <f>IFERROR(VALUE(B̳ases!I284),0)</f>
        <v>0</v>
      </c>
      <c r="M286" s="11">
        <f>B̳ases!K284</f>
        <v>0</v>
      </c>
      <c r="N286" s="6"/>
      <c r="O286" s="6"/>
      <c r="P286" s="6"/>
      <c r="Q286" s="6"/>
    </row>
    <row r="287" spans="1:17" ht="16.5" x14ac:dyDescent="0.3">
      <c r="A287" s="8">
        <f>B̳ases!A285</f>
        <v>3514</v>
      </c>
      <c r="B287" s="9" t="str">
        <f>B̳ases!C285</f>
        <v>Ultimate</v>
      </c>
      <c r="C287" s="10">
        <f>B̳ases!D285</f>
        <v>45631</v>
      </c>
      <c r="D287" s="9" t="str">
        <f t="shared" si="8"/>
        <v>dez</v>
      </c>
      <c r="E287" s="8">
        <f t="shared" si="9"/>
        <v>12</v>
      </c>
      <c r="F287" s="8">
        <f>IF(B̳ases!E285="Yes",1,0)</f>
        <v>1</v>
      </c>
      <c r="G287" s="8">
        <f>IF(B̳ases!H285="Yes",1,0)</f>
        <v>1</v>
      </c>
      <c r="H287" s="8">
        <f>IF(B̳ases!J285="Yes",1,0)</f>
        <v>1</v>
      </c>
      <c r="I287" s="11">
        <f>B̳ases!M285</f>
        <v>58</v>
      </c>
      <c r="J287" s="11">
        <f>B̳ases!L285</f>
        <v>7</v>
      </c>
      <c r="K287" s="9" t="str">
        <f>B̳ases!G285</f>
        <v>Quarterly</v>
      </c>
      <c r="L287" s="11">
        <f>IFERROR(VALUE(B̳ases!I285),0)</f>
        <v>30</v>
      </c>
      <c r="M287" s="11">
        <f>B̳ases!K285</f>
        <v>20</v>
      </c>
      <c r="N287" s="6"/>
      <c r="O287" s="6"/>
      <c r="P287" s="6"/>
      <c r="Q287" s="6"/>
    </row>
    <row r="288" spans="1:17" ht="16.5" x14ac:dyDescent="0.3">
      <c r="A288" s="8">
        <f>B̳ases!A286</f>
        <v>3515</v>
      </c>
      <c r="B288" s="9" t="str">
        <f>B̳ases!C286</f>
        <v>Standard</v>
      </c>
      <c r="C288" s="10">
        <f>B̳ases!D286</f>
        <v>45632</v>
      </c>
      <c r="D288" s="9" t="str">
        <f t="shared" si="8"/>
        <v>dez</v>
      </c>
      <c r="E288" s="8">
        <f t="shared" si="9"/>
        <v>12</v>
      </c>
      <c r="F288" s="8">
        <f>IF(B̳ases!E286="Yes",1,0)</f>
        <v>0</v>
      </c>
      <c r="G288" s="8">
        <f>IF(B̳ases!H286="Yes",1,0)</f>
        <v>0</v>
      </c>
      <c r="H288" s="8">
        <f>IF(B̳ases!J286="Yes",1,0)</f>
        <v>1</v>
      </c>
      <c r="I288" s="11">
        <f>B̳ases!M286</f>
        <v>20</v>
      </c>
      <c r="J288" s="11">
        <f>B̳ases!L286</f>
        <v>10</v>
      </c>
      <c r="K288" s="9" t="str">
        <f>B̳ases!G286</f>
        <v>Monthly</v>
      </c>
      <c r="L288" s="11">
        <f>IFERROR(VALUE(B̳ases!I286),0)</f>
        <v>0</v>
      </c>
      <c r="M288" s="11">
        <f>B̳ases!K286</f>
        <v>20</v>
      </c>
      <c r="N288" s="6"/>
      <c r="O288" s="6"/>
      <c r="P288" s="6"/>
      <c r="Q288" s="6"/>
    </row>
    <row r="289" spans="1:17" ht="16.5" x14ac:dyDescent="0.3">
      <c r="A289" s="8">
        <f>B̳ases!A287</f>
        <v>3516</v>
      </c>
      <c r="B289" s="9" t="str">
        <f>B̳ases!C287</f>
        <v>Core</v>
      </c>
      <c r="C289" s="10">
        <f>B̳ases!D287</f>
        <v>45633</v>
      </c>
      <c r="D289" s="9" t="str">
        <f t="shared" si="8"/>
        <v>dez</v>
      </c>
      <c r="E289" s="8">
        <f t="shared" si="9"/>
        <v>12</v>
      </c>
      <c r="F289" s="8">
        <f>IF(B̳ases!E287="Yes",1,0)</f>
        <v>1</v>
      </c>
      <c r="G289" s="8">
        <f>IF(B̳ases!H287="Yes",1,0)</f>
        <v>0</v>
      </c>
      <c r="H289" s="8">
        <f>IF(B̳ases!J287="Yes",1,0)</f>
        <v>0</v>
      </c>
      <c r="I289" s="11">
        <f>B̳ases!M287</f>
        <v>5</v>
      </c>
      <c r="J289" s="11">
        <f>B̳ases!L287</f>
        <v>0</v>
      </c>
      <c r="K289" s="9" t="str">
        <f>B̳ases!G287</f>
        <v>Annual</v>
      </c>
      <c r="L289" s="11">
        <f>IFERROR(VALUE(B̳ases!I287),0)</f>
        <v>0</v>
      </c>
      <c r="M289" s="11">
        <f>B̳ases!K287</f>
        <v>0</v>
      </c>
      <c r="N289" s="6"/>
      <c r="O289" s="6"/>
      <c r="P289" s="6"/>
      <c r="Q289" s="6"/>
    </row>
    <row r="290" spans="1:17" ht="16.5" x14ac:dyDescent="0.3">
      <c r="A290" s="8">
        <f>B̳ases!A288</f>
        <v>3517</v>
      </c>
      <c r="B290" s="9" t="str">
        <f>B̳ases!C288</f>
        <v>Ultimate</v>
      </c>
      <c r="C290" s="10">
        <f>B̳ases!D288</f>
        <v>45634</v>
      </c>
      <c r="D290" s="9" t="str">
        <f t="shared" si="8"/>
        <v>dez</v>
      </c>
      <c r="E290" s="8">
        <f t="shared" si="9"/>
        <v>12</v>
      </c>
      <c r="F290" s="8">
        <f>IF(B̳ases!E288="Yes",1,0)</f>
        <v>0</v>
      </c>
      <c r="G290" s="8">
        <f>IF(B̳ases!H288="Yes",1,0)</f>
        <v>1</v>
      </c>
      <c r="H290" s="8">
        <f>IF(B̳ases!J288="Yes",1,0)</f>
        <v>1</v>
      </c>
      <c r="I290" s="11">
        <f>B̳ases!M288</f>
        <v>45</v>
      </c>
      <c r="J290" s="11">
        <f>B̳ases!L288</f>
        <v>20</v>
      </c>
      <c r="K290" s="9" t="str">
        <f>B̳ases!G288</f>
        <v>Monthly</v>
      </c>
      <c r="L290" s="11">
        <f>IFERROR(VALUE(B̳ases!I288),0)</f>
        <v>30</v>
      </c>
      <c r="M290" s="11">
        <f>B̳ases!K288</f>
        <v>20</v>
      </c>
      <c r="N290" s="6"/>
      <c r="O290" s="6"/>
      <c r="P290" s="6"/>
      <c r="Q290" s="6"/>
    </row>
    <row r="291" spans="1:17" ht="16.5" x14ac:dyDescent="0.3">
      <c r="A291" s="8">
        <f>B̳ases!A289</f>
        <v>3518</v>
      </c>
      <c r="B291" s="9" t="str">
        <f>B̳ases!C289</f>
        <v>Standard</v>
      </c>
      <c r="C291" s="10">
        <f>B̳ases!D289</f>
        <v>45635</v>
      </c>
      <c r="D291" s="9" t="str">
        <f t="shared" si="8"/>
        <v>dez</v>
      </c>
      <c r="E291" s="8">
        <f t="shared" si="9"/>
        <v>12</v>
      </c>
      <c r="F291" s="8">
        <f>IF(B̳ases!E289="Yes",1,0)</f>
        <v>1</v>
      </c>
      <c r="G291" s="8">
        <f>IF(B̳ases!H289="Yes",1,0)</f>
        <v>0</v>
      </c>
      <c r="H291" s="8">
        <f>IF(B̳ases!J289="Yes",1,0)</f>
        <v>1</v>
      </c>
      <c r="I291" s="11">
        <f>B̳ases!M289</f>
        <v>18</v>
      </c>
      <c r="J291" s="11">
        <f>B̳ases!L289</f>
        <v>12</v>
      </c>
      <c r="K291" s="9" t="str">
        <f>B̳ases!G289</f>
        <v>Quarterly</v>
      </c>
      <c r="L291" s="11">
        <f>IFERROR(VALUE(B̳ases!I289),0)</f>
        <v>0</v>
      </c>
      <c r="M291" s="11">
        <f>B̳ases!K289</f>
        <v>20</v>
      </c>
      <c r="N291" s="6"/>
      <c r="O291" s="6"/>
      <c r="P291" s="6"/>
      <c r="Q291" s="6"/>
    </row>
    <row r="292" spans="1:17" ht="16.5" x14ac:dyDescent="0.3">
      <c r="A292" s="8">
        <f>B̳ases!A290</f>
        <v>3519</v>
      </c>
      <c r="B292" s="9" t="str">
        <f>B̳ases!C290</f>
        <v>Core</v>
      </c>
      <c r="C292" s="10">
        <f>B̳ases!D290</f>
        <v>45636</v>
      </c>
      <c r="D292" s="9" t="str">
        <f t="shared" si="8"/>
        <v>dez</v>
      </c>
      <c r="E292" s="8">
        <f t="shared" si="9"/>
        <v>12</v>
      </c>
      <c r="F292" s="8">
        <f>IF(B̳ases!E290="Yes",1,0)</f>
        <v>0</v>
      </c>
      <c r="G292" s="8">
        <f>IF(B̳ases!H290="Yes",1,0)</f>
        <v>0</v>
      </c>
      <c r="H292" s="8">
        <f>IF(B̳ases!J290="Yes",1,0)</f>
        <v>0</v>
      </c>
      <c r="I292" s="11">
        <f>B̳ases!M290</f>
        <v>3</v>
      </c>
      <c r="J292" s="11">
        <f>B̳ases!L290</f>
        <v>2</v>
      </c>
      <c r="K292" s="9" t="str">
        <f>B̳ases!G290</f>
        <v>Monthly</v>
      </c>
      <c r="L292" s="11">
        <f>IFERROR(VALUE(B̳ases!I290),0)</f>
        <v>0</v>
      </c>
      <c r="M292" s="11">
        <f>B̳ases!K290</f>
        <v>0</v>
      </c>
      <c r="N292" s="6"/>
      <c r="O292" s="6"/>
      <c r="P292" s="6"/>
      <c r="Q292" s="6"/>
    </row>
    <row r="293" spans="1:17" ht="16.5" x14ac:dyDescent="0.3">
      <c r="A293" s="8">
        <f>B̳ases!A291</f>
        <v>3520</v>
      </c>
      <c r="B293" s="9" t="str">
        <f>B̳ases!C291</f>
        <v>Ultimate</v>
      </c>
      <c r="C293" s="10">
        <f>B̳ases!D291</f>
        <v>45637</v>
      </c>
      <c r="D293" s="9" t="str">
        <f t="shared" si="8"/>
        <v>dez</v>
      </c>
      <c r="E293" s="8">
        <f t="shared" si="9"/>
        <v>12</v>
      </c>
      <c r="F293" s="8">
        <f>IF(B̳ases!E291="Yes",1,0)</f>
        <v>1</v>
      </c>
      <c r="G293" s="8">
        <f>IF(B̳ases!H291="Yes",1,0)</f>
        <v>1</v>
      </c>
      <c r="H293" s="8">
        <f>IF(B̳ases!J291="Yes",1,0)</f>
        <v>1</v>
      </c>
      <c r="I293" s="11">
        <f>B̳ases!M291</f>
        <v>60</v>
      </c>
      <c r="J293" s="11">
        <f>B̳ases!L291</f>
        <v>5</v>
      </c>
      <c r="K293" s="9" t="str">
        <f>B̳ases!G291</f>
        <v>Annual</v>
      </c>
      <c r="L293" s="11">
        <f>IFERROR(VALUE(B̳ases!I291),0)</f>
        <v>30</v>
      </c>
      <c r="M293" s="11">
        <f>B̳ases!K291</f>
        <v>20</v>
      </c>
      <c r="N293" s="6"/>
      <c r="O293" s="6"/>
      <c r="P293" s="6"/>
      <c r="Q293" s="6"/>
    </row>
    <row r="294" spans="1:17" ht="16.5" x14ac:dyDescent="0.3">
      <c r="A294" s="8">
        <f>B̳ases!A292</f>
        <v>3521</v>
      </c>
      <c r="B294" s="9" t="str">
        <f>B̳ases!C292</f>
        <v>Standard</v>
      </c>
      <c r="C294" s="10">
        <f>B̳ases!D292</f>
        <v>45638</v>
      </c>
      <c r="D294" s="9" t="str">
        <f t="shared" si="8"/>
        <v>dez</v>
      </c>
      <c r="E294" s="8">
        <f t="shared" si="9"/>
        <v>12</v>
      </c>
      <c r="F294" s="8">
        <f>IF(B̳ases!E292="Yes",1,0)</f>
        <v>0</v>
      </c>
      <c r="G294" s="8">
        <f>IF(B̳ases!H292="Yes",1,0)</f>
        <v>0</v>
      </c>
      <c r="H294" s="8">
        <f>IF(B̳ases!J292="Yes",1,0)</f>
        <v>1</v>
      </c>
      <c r="I294" s="11">
        <f>B̳ases!M292</f>
        <v>20</v>
      </c>
      <c r="J294" s="11">
        <f>B̳ases!L292</f>
        <v>10</v>
      </c>
      <c r="K294" s="9" t="str">
        <f>B̳ases!G292</f>
        <v>Monthly</v>
      </c>
      <c r="L294" s="11">
        <f>IFERROR(VALUE(B̳ases!I292),0)</f>
        <v>0</v>
      </c>
      <c r="M294" s="11">
        <f>B̳ases!K292</f>
        <v>20</v>
      </c>
      <c r="N294" s="6"/>
      <c r="O294" s="6"/>
      <c r="P294" s="6"/>
      <c r="Q294" s="6"/>
    </row>
    <row r="295" spans="1:17" ht="16.5" x14ac:dyDescent="0.3">
      <c r="A295" s="8">
        <f>B̳ases!A293</f>
        <v>3522</v>
      </c>
      <c r="B295" s="9" t="str">
        <f>B̳ases!C293</f>
        <v>Core</v>
      </c>
      <c r="C295" s="10">
        <f>B̳ases!D293</f>
        <v>45639</v>
      </c>
      <c r="D295" s="9" t="str">
        <f t="shared" si="8"/>
        <v>dez</v>
      </c>
      <c r="E295" s="8">
        <f t="shared" si="9"/>
        <v>12</v>
      </c>
      <c r="F295" s="8">
        <f>IF(B̳ases!E293="Yes",1,0)</f>
        <v>1</v>
      </c>
      <c r="G295" s="8">
        <f>IF(B̳ases!H293="Yes",1,0)</f>
        <v>0</v>
      </c>
      <c r="H295" s="8">
        <f>IF(B̳ases!J293="Yes",1,0)</f>
        <v>0</v>
      </c>
      <c r="I295" s="11">
        <f>B̳ases!M293</f>
        <v>5</v>
      </c>
      <c r="J295" s="11">
        <f>B̳ases!L293</f>
        <v>0</v>
      </c>
      <c r="K295" s="9" t="str">
        <f>B̳ases!G293</f>
        <v>Quarterly</v>
      </c>
      <c r="L295" s="11">
        <f>IFERROR(VALUE(B̳ases!I293),0)</f>
        <v>0</v>
      </c>
      <c r="M295" s="11">
        <f>B̳ases!K293</f>
        <v>0</v>
      </c>
      <c r="N295" s="6"/>
      <c r="O295" s="6"/>
      <c r="P295" s="6"/>
      <c r="Q295" s="6"/>
    </row>
    <row r="296" spans="1:17" ht="16.5" x14ac:dyDescent="0.3">
      <c r="A296" s="8">
        <f>B̳ases!A294</f>
        <v>3523</v>
      </c>
      <c r="B296" s="9" t="str">
        <f>B̳ases!C294</f>
        <v>Ultimate</v>
      </c>
      <c r="C296" s="10">
        <f>B̳ases!D294</f>
        <v>45640</v>
      </c>
      <c r="D296" s="9" t="str">
        <f t="shared" si="8"/>
        <v>dez</v>
      </c>
      <c r="E296" s="8">
        <f t="shared" si="9"/>
        <v>12</v>
      </c>
      <c r="F296" s="8">
        <f>IF(B̳ases!E294="Yes",1,0)</f>
        <v>0</v>
      </c>
      <c r="G296" s="8">
        <f>IF(B̳ases!H294="Yes",1,0)</f>
        <v>1</v>
      </c>
      <c r="H296" s="8">
        <f>IF(B̳ases!J294="Yes",1,0)</f>
        <v>1</v>
      </c>
      <c r="I296" s="11">
        <f>B̳ases!M294</f>
        <v>62</v>
      </c>
      <c r="J296" s="11">
        <f>B̳ases!L294</f>
        <v>3</v>
      </c>
      <c r="K296" s="9" t="str">
        <f>B̳ases!G294</f>
        <v>Monthly</v>
      </c>
      <c r="L296" s="11">
        <f>IFERROR(VALUE(B̳ases!I294),0)</f>
        <v>30</v>
      </c>
      <c r="M296" s="11">
        <f>B̳ases!K294</f>
        <v>20</v>
      </c>
      <c r="N296" s="6"/>
      <c r="O296" s="6"/>
      <c r="P296" s="6"/>
      <c r="Q296" s="6"/>
    </row>
    <row r="297" spans="1:17" ht="16.5" x14ac:dyDescent="0.3">
      <c r="A297" s="8">
        <f>B̳ases!A295</f>
        <v>3524</v>
      </c>
      <c r="B297" s="9" t="str">
        <f>B̳ases!C295</f>
        <v>Standard</v>
      </c>
      <c r="C297" s="10">
        <f>B̳ases!D295</f>
        <v>45641</v>
      </c>
      <c r="D297" s="9" t="str">
        <f t="shared" si="8"/>
        <v>dez</v>
      </c>
      <c r="E297" s="8">
        <f t="shared" si="9"/>
        <v>12</v>
      </c>
      <c r="F297" s="8">
        <f>IF(B̳ases!E295="Yes",1,0)</f>
        <v>1</v>
      </c>
      <c r="G297" s="8">
        <f>IF(B̳ases!H295="Yes",1,0)</f>
        <v>0</v>
      </c>
      <c r="H297" s="8">
        <f>IF(B̳ases!J295="Yes",1,0)</f>
        <v>1</v>
      </c>
      <c r="I297" s="11">
        <f>B̳ases!M295</f>
        <v>15</v>
      </c>
      <c r="J297" s="11">
        <f>B̳ases!L295</f>
        <v>15</v>
      </c>
      <c r="K297" s="9" t="str">
        <f>B̳ases!G295</f>
        <v>Annual</v>
      </c>
      <c r="L297" s="11">
        <f>IFERROR(VALUE(B̳ases!I295),0)</f>
        <v>0</v>
      </c>
      <c r="M297" s="11">
        <f>B̳ases!K295</f>
        <v>20</v>
      </c>
      <c r="N297" s="6"/>
      <c r="O297" s="6"/>
      <c r="P297" s="6"/>
      <c r="Q297" s="6"/>
    </row>
    <row r="298" spans="1:17" ht="16.5" x14ac:dyDescent="0.3">
      <c r="A298" s="8">
        <f>B̳ases!A296</f>
        <v>3525</v>
      </c>
      <c r="B298" s="9" t="str">
        <f>B̳ases!C296</f>
        <v>Core</v>
      </c>
      <c r="C298" s="10">
        <f>B̳ases!D296</f>
        <v>45642</v>
      </c>
      <c r="D298" s="9" t="str">
        <f t="shared" si="8"/>
        <v>dez</v>
      </c>
      <c r="E298" s="8">
        <f t="shared" si="9"/>
        <v>12</v>
      </c>
      <c r="F298" s="8">
        <f>IF(B̳ases!E296="Yes",1,0)</f>
        <v>0</v>
      </c>
      <c r="G298" s="8">
        <f>IF(B̳ases!H296="Yes",1,0)</f>
        <v>0</v>
      </c>
      <c r="H298" s="8">
        <f>IF(B̳ases!J296="Yes",1,0)</f>
        <v>0</v>
      </c>
      <c r="I298" s="11">
        <f>B̳ases!M296</f>
        <v>4</v>
      </c>
      <c r="J298" s="11">
        <f>B̳ases!L296</f>
        <v>1</v>
      </c>
      <c r="K298" s="9" t="str">
        <f>B̳ases!G296</f>
        <v>Monthly</v>
      </c>
      <c r="L298" s="11">
        <f>IFERROR(VALUE(B̳ases!I296),0)</f>
        <v>0</v>
      </c>
      <c r="M298" s="11">
        <f>B̳ases!K296</f>
        <v>0</v>
      </c>
      <c r="N298" s="6"/>
      <c r="O298" s="6"/>
      <c r="P298" s="6"/>
      <c r="Q298" s="6"/>
    </row>
    <row r="299" spans="1:17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spans="1:17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spans="1:17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spans="1:17" ht="16.5" x14ac:dyDescent="0.3">
      <c r="A302" s="12" t="s">
        <v>310</v>
      </c>
      <c r="B302" s="6"/>
      <c r="C302" s="6"/>
      <c r="D302" s="12" t="s">
        <v>311</v>
      </c>
      <c r="E302" s="6"/>
      <c r="F302" s="6"/>
      <c r="G302" s="6"/>
      <c r="H302" s="12" t="s">
        <v>312</v>
      </c>
      <c r="I302" s="6"/>
      <c r="J302" s="6"/>
      <c r="K302" s="6"/>
      <c r="L302" s="6"/>
      <c r="M302" s="6"/>
      <c r="N302" s="6"/>
      <c r="O302" s="6"/>
      <c r="P302" s="6"/>
      <c r="Q302" s="6"/>
    </row>
    <row r="303" spans="1:17" ht="16.5" x14ac:dyDescent="0.3">
      <c r="A303" s="13" t="s">
        <v>313</v>
      </c>
      <c r="B303" s="14">
        <f>SUM(I5:I299)</f>
        <v>7573</v>
      </c>
      <c r="C303" s="6"/>
      <c r="D303" s="15" t="s">
        <v>18</v>
      </c>
      <c r="E303" s="14">
        <f>SUMIF(B5:B299,D303,I5:I299)</f>
        <v>444</v>
      </c>
      <c r="F303" s="16">
        <f>COUNTIF(B5:B299,D303)</f>
        <v>101</v>
      </c>
      <c r="G303" s="6"/>
      <c r="H303" s="15" t="s">
        <v>16</v>
      </c>
      <c r="I303" s="16">
        <f>COUNTIF(K5:K299,H303)</f>
        <v>138</v>
      </c>
      <c r="J303" s="6"/>
      <c r="K303" s="6"/>
      <c r="L303" s="6"/>
      <c r="M303" s="6"/>
      <c r="N303" s="6"/>
      <c r="O303" s="6"/>
      <c r="P303" s="6"/>
      <c r="Q303" s="6"/>
    </row>
    <row r="304" spans="1:17" ht="16.5" x14ac:dyDescent="0.3">
      <c r="A304" s="13" t="s">
        <v>314</v>
      </c>
      <c r="B304" s="17">
        <f>COUNTA(A5:A299)</f>
        <v>294</v>
      </c>
      <c r="C304" s="6"/>
      <c r="D304" s="15" t="s">
        <v>23</v>
      </c>
      <c r="E304" s="14">
        <f>SUMIF(B5:B299,D304,I5:I299)</f>
        <v>1801</v>
      </c>
      <c r="F304" s="16">
        <f>COUNTIF(B5:B299,D304)</f>
        <v>96</v>
      </c>
      <c r="G304" s="6"/>
      <c r="H304" s="15" t="s">
        <v>24</v>
      </c>
      <c r="I304" s="16">
        <f>COUNTIF(K5:K299,H304)</f>
        <v>85</v>
      </c>
      <c r="J304" s="6"/>
      <c r="K304" s="6"/>
      <c r="L304" s="6"/>
      <c r="M304" s="6"/>
      <c r="N304" s="6"/>
      <c r="O304" s="6"/>
      <c r="P304" s="6"/>
      <c r="Q304" s="6"/>
    </row>
    <row r="305" spans="1:17" ht="16.5" x14ac:dyDescent="0.3">
      <c r="A305" s="13" t="s">
        <v>315</v>
      </c>
      <c r="B305" s="18">
        <f>AVERAGE(I5:I299)</f>
        <v>25.758503401360546</v>
      </c>
      <c r="C305" s="6"/>
      <c r="D305" s="15" t="s">
        <v>14</v>
      </c>
      <c r="E305" s="14">
        <f>SUMIF(B5:B299,D305,I5:I299)</f>
        <v>5328</v>
      </c>
      <c r="F305" s="16">
        <f>COUNTIF(B5:B299,D305)</f>
        <v>97</v>
      </c>
      <c r="G305" s="6"/>
      <c r="H305" s="15" t="s">
        <v>20</v>
      </c>
      <c r="I305" s="16">
        <f>COUNTIF(K5:K299,H305)</f>
        <v>71</v>
      </c>
      <c r="J305" s="6"/>
      <c r="K305" s="6"/>
      <c r="L305" s="6"/>
      <c r="M305" s="6"/>
      <c r="N305" s="6"/>
      <c r="O305" s="6"/>
      <c r="P305" s="6"/>
      <c r="Q305" s="6"/>
    </row>
    <row r="306" spans="1:17" ht="16.5" x14ac:dyDescent="0.3">
      <c r="A306" s="13" t="s">
        <v>316</v>
      </c>
      <c r="B306" s="14">
        <f>SUM(J5:J299)</f>
        <v>2117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spans="1:17" ht="16.5" x14ac:dyDescent="0.3">
      <c r="A307" s="13" t="s">
        <v>317</v>
      </c>
      <c r="B307" s="19">
        <f>AVERAGE(F5:F299)</f>
        <v>0.5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spans="1:17" ht="16.5" x14ac:dyDescent="0.3">
      <c r="A308" s="13" t="s">
        <v>318</v>
      </c>
      <c r="B308" s="14">
        <f>SUM(L5:L299)</f>
        <v>2910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spans="1:17" ht="16.5" x14ac:dyDescent="0.3">
      <c r="A309" s="13" t="s">
        <v>319</v>
      </c>
      <c r="B309" s="14">
        <f>SUM(M5:M299)</f>
        <v>3860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spans="1:17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spans="1:17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spans="1:17" ht="16.5" x14ac:dyDescent="0.3">
      <c r="A312" s="12" t="s">
        <v>320</v>
      </c>
      <c r="B312" s="6"/>
      <c r="C312" s="6"/>
      <c r="D312" s="6"/>
      <c r="E312" s="12" t="s">
        <v>321</v>
      </c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spans="1:17" ht="16.5" x14ac:dyDescent="0.3">
      <c r="A313" s="15" t="s">
        <v>322</v>
      </c>
      <c r="B313" s="20">
        <v>1</v>
      </c>
      <c r="C313" s="14">
        <f>SUMIF(E5:E299,B313,I5:I299)</f>
        <v>5</v>
      </c>
      <c r="D313" s="6"/>
      <c r="E313" s="15" t="s">
        <v>323</v>
      </c>
      <c r="F313" s="14">
        <f>SUM(L5:L299)</f>
        <v>2910</v>
      </c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spans="1:17" ht="16.5" x14ac:dyDescent="0.3">
      <c r="A314" s="15" t="s">
        <v>324</v>
      </c>
      <c r="B314" s="20">
        <v>2</v>
      </c>
      <c r="C314" s="14">
        <f>SUMIF(E5:E299,B314,I5:I299)</f>
        <v>82</v>
      </c>
      <c r="D314" s="6"/>
      <c r="E314" s="15" t="s">
        <v>325</v>
      </c>
      <c r="F314" s="14">
        <f>SUM(M5:M299)</f>
        <v>3860</v>
      </c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spans="1:17" ht="16.5" x14ac:dyDescent="0.3">
      <c r="A315" s="15" t="s">
        <v>326</v>
      </c>
      <c r="B315" s="20">
        <v>3</v>
      </c>
      <c r="C315" s="14">
        <f>SUMIF(E5:E299,B315,I5:I299)</f>
        <v>801</v>
      </c>
      <c r="D315" s="6"/>
      <c r="E315" s="15" t="s">
        <v>327</v>
      </c>
      <c r="F315" s="17">
        <f>COUNTIF(F5:F299,1)</f>
        <v>147</v>
      </c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spans="1:17" ht="16.5" x14ac:dyDescent="0.3">
      <c r="A316" s="15" t="s">
        <v>328</v>
      </c>
      <c r="B316" s="20">
        <v>4</v>
      </c>
      <c r="C316" s="14">
        <f>SUMIF(E5:E299,B316,I5:I299)</f>
        <v>782</v>
      </c>
      <c r="D316" s="6"/>
      <c r="E316" s="15" t="s">
        <v>329</v>
      </c>
      <c r="F316" s="17">
        <f>COUNTIF(F5:F299,0)</f>
        <v>147</v>
      </c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spans="1:17" ht="16.5" x14ac:dyDescent="0.3">
      <c r="A317" s="15" t="s">
        <v>330</v>
      </c>
      <c r="B317" s="20">
        <v>5</v>
      </c>
      <c r="C317" s="14">
        <f>SUMIF(E5:E299,B317,I5:I299)</f>
        <v>777</v>
      </c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spans="1:17" ht="16.5" x14ac:dyDescent="0.3">
      <c r="A318" s="15" t="s">
        <v>331</v>
      </c>
      <c r="B318" s="20">
        <v>6</v>
      </c>
      <c r="C318" s="14">
        <f>SUMIF(E5:E299,B318,I5:I299)</f>
        <v>770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spans="1:17" ht="16.5" x14ac:dyDescent="0.3">
      <c r="A319" s="15" t="s">
        <v>332</v>
      </c>
      <c r="B319" s="20">
        <v>7</v>
      </c>
      <c r="C319" s="14">
        <f>SUMIF(E5:E299,B319,I5:I299)</f>
        <v>784</v>
      </c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spans="1:17" ht="16.5" x14ac:dyDescent="0.3">
      <c r="A320" s="15" t="s">
        <v>333</v>
      </c>
      <c r="B320" s="20">
        <v>8</v>
      </c>
      <c r="C320" s="14">
        <f>SUMIF(E5:E299,B320,I5:I299)</f>
        <v>787</v>
      </c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spans="1:17" ht="16.5" x14ac:dyDescent="0.3">
      <c r="A321" s="15" t="s">
        <v>334</v>
      </c>
      <c r="B321" s="20">
        <v>9</v>
      </c>
      <c r="C321" s="14">
        <f>SUMIF(E5:E299,B321,I5:I299)</f>
        <v>780</v>
      </c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spans="1:17" ht="16.5" x14ac:dyDescent="0.3">
      <c r="A322" s="15" t="s">
        <v>335</v>
      </c>
      <c r="B322" s="20">
        <v>10</v>
      </c>
      <c r="C322" s="14">
        <f>SUMIF(E5:E299,B322,I5:I299)</f>
        <v>832</v>
      </c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spans="1:17" ht="16.5" x14ac:dyDescent="0.3">
      <c r="A323" s="15" t="s">
        <v>336</v>
      </c>
      <c r="B323" s="20">
        <v>11</v>
      </c>
      <c r="C323" s="14">
        <f>SUMIF(E5:E299,B323,I5:I299)</f>
        <v>784</v>
      </c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spans="1:17" ht="16.5" x14ac:dyDescent="0.3">
      <c r="A324" s="15" t="s">
        <v>337</v>
      </c>
      <c r="B324" s="20">
        <v>12</v>
      </c>
      <c r="C324" s="14">
        <f>SUMIF(E5:E299,B324,I5:I299)</f>
        <v>389</v>
      </c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spans="1:17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spans="1:17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spans="1:17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spans="1:17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spans="1:17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spans="1:17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spans="1:17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spans="1:17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spans="1:17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spans="1:17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spans="1:17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spans="1:17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spans="1:17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spans="1:17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spans="1:17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P41"/>
  <sheetViews>
    <sheetView showGridLines="0" tabSelected="1" topLeftCell="B1" zoomScale="55" zoomScaleNormal="55" workbookViewId="0">
      <selection activeCell="P9" activeCellId="1" sqref="P9 P9"/>
    </sheetView>
  </sheetViews>
  <sheetFormatPr defaultColWidth="0" defaultRowHeight="15" zeroHeight="1" x14ac:dyDescent="0.25"/>
  <cols>
    <col min="1" max="1" width="17.140625" hidden="1" customWidth="1"/>
    <col min="2" max="2" width="14.7109375" customWidth="1"/>
    <col min="3" max="14" width="12" customWidth="1"/>
    <col min="15" max="16" width="17.140625" customWidth="1"/>
    <col min="17" max="16384" width="17.140625" hidden="1"/>
  </cols>
  <sheetData>
    <row r="1" spans="2:16" ht="24" customHeight="1" x14ac:dyDescent="0.2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2:16" ht="27.95" customHeight="1" x14ac:dyDescent="0.25">
      <c r="B2" s="6"/>
      <c r="C2" s="22" t="s">
        <v>338</v>
      </c>
      <c r="D2" s="23"/>
      <c r="E2" s="23"/>
      <c r="F2" s="23"/>
      <c r="G2" s="23"/>
      <c r="H2" s="23"/>
      <c r="I2" s="23"/>
      <c r="J2" s="23"/>
      <c r="K2" s="23"/>
      <c r="L2" s="6"/>
      <c r="M2" s="6"/>
      <c r="N2" s="6"/>
      <c r="O2" s="6"/>
      <c r="P2" s="6"/>
    </row>
    <row r="3" spans="2:16" ht="27.95" customHeight="1" x14ac:dyDescent="0.25">
      <c r="B3" s="6"/>
      <c r="C3" s="23"/>
      <c r="D3" s="23"/>
      <c r="E3" s="23"/>
      <c r="F3" s="23"/>
      <c r="G3" s="23"/>
      <c r="H3" s="23"/>
      <c r="I3" s="23"/>
      <c r="J3" s="23"/>
      <c r="K3" s="23"/>
      <c r="L3" s="6"/>
      <c r="M3" s="6"/>
      <c r="N3" s="6"/>
      <c r="O3" s="6"/>
      <c r="P3" s="6"/>
    </row>
    <row r="4" spans="2:16" ht="27.95" customHeight="1" x14ac:dyDescent="0.25">
      <c r="B4" s="6"/>
      <c r="C4" s="35" t="s">
        <v>339</v>
      </c>
      <c r="D4" s="23"/>
      <c r="E4" s="23"/>
      <c r="F4" s="23"/>
      <c r="G4" s="23"/>
      <c r="H4" s="23"/>
      <c r="I4" s="23"/>
      <c r="J4" s="23"/>
      <c r="K4" s="6"/>
      <c r="L4" s="6"/>
      <c r="M4" s="6"/>
      <c r="N4" s="6"/>
      <c r="O4" s="6"/>
      <c r="P4" s="6"/>
    </row>
    <row r="5" spans="2:16" ht="27.95" customHeight="1" x14ac:dyDescent="0.25">
      <c r="B5" s="6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6"/>
    </row>
    <row r="6" spans="2:16" ht="24" customHeight="1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4" customHeight="1" x14ac:dyDescent="0.25">
      <c r="B7" s="6"/>
      <c r="C7" s="33" t="s">
        <v>313</v>
      </c>
      <c r="D7" s="25"/>
      <c r="E7" s="26"/>
      <c r="F7" s="33" t="s">
        <v>340</v>
      </c>
      <c r="G7" s="25"/>
      <c r="H7" s="26"/>
      <c r="I7" s="33" t="s">
        <v>315</v>
      </c>
      <c r="J7" s="25"/>
      <c r="K7" s="26"/>
      <c r="L7" s="33" t="s">
        <v>4</v>
      </c>
      <c r="M7" s="25"/>
      <c r="N7" s="25"/>
      <c r="O7" s="26"/>
      <c r="P7" s="6"/>
    </row>
    <row r="8" spans="2:16" ht="24" customHeight="1" x14ac:dyDescent="0.25">
      <c r="B8" s="6"/>
      <c r="C8" s="27" t="s">
        <v>341</v>
      </c>
      <c r="D8" s="28"/>
      <c r="E8" s="29"/>
      <c r="F8" s="27" t="s">
        <v>342</v>
      </c>
      <c r="G8" s="28"/>
      <c r="H8" s="29"/>
      <c r="I8" s="27" t="s">
        <v>343</v>
      </c>
      <c r="J8" s="28"/>
      <c r="K8" s="29"/>
      <c r="L8" s="27" t="s">
        <v>344</v>
      </c>
      <c r="M8" s="28"/>
      <c r="N8" s="28"/>
      <c r="O8" s="29"/>
      <c r="P8" s="6"/>
    </row>
    <row r="9" spans="2:16" ht="24" customHeight="1" x14ac:dyDescent="0.25">
      <c r="B9" s="6"/>
      <c r="C9" s="30"/>
      <c r="D9" s="31"/>
      <c r="E9" s="32"/>
      <c r="F9" s="30"/>
      <c r="G9" s="31"/>
      <c r="H9" s="32"/>
      <c r="I9" s="30"/>
      <c r="J9" s="31"/>
      <c r="K9" s="32"/>
      <c r="L9" s="30"/>
      <c r="M9" s="31"/>
      <c r="N9" s="31"/>
      <c r="O9" s="32"/>
      <c r="P9" s="6"/>
    </row>
    <row r="10" spans="2:16" ht="24" customHeight="1" x14ac:dyDescent="0.25">
      <c r="B10" s="6"/>
      <c r="C10" s="34" t="s">
        <v>345</v>
      </c>
      <c r="D10" s="25"/>
      <c r="E10" s="26"/>
      <c r="F10" s="34" t="s">
        <v>346</v>
      </c>
      <c r="G10" s="25"/>
      <c r="H10" s="26"/>
      <c r="I10" s="34" t="s">
        <v>347</v>
      </c>
      <c r="J10" s="25"/>
      <c r="K10" s="26"/>
      <c r="L10" s="34" t="s">
        <v>348</v>
      </c>
      <c r="M10" s="25"/>
      <c r="N10" s="25"/>
      <c r="O10" s="26"/>
      <c r="P10" s="6"/>
    </row>
    <row r="11" spans="2:16" ht="24" customHeight="1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2:16" ht="24" customHeight="1" x14ac:dyDescent="0.25">
      <c r="B12" s="6"/>
      <c r="C12" s="33" t="s">
        <v>349</v>
      </c>
      <c r="D12" s="25"/>
      <c r="E12" s="26"/>
      <c r="F12" s="33" t="s">
        <v>350</v>
      </c>
      <c r="G12" s="25"/>
      <c r="H12" s="26"/>
      <c r="I12" s="33" t="s">
        <v>323</v>
      </c>
      <c r="J12" s="25"/>
      <c r="K12" s="26"/>
      <c r="L12" s="33" t="s">
        <v>325</v>
      </c>
      <c r="M12" s="25"/>
      <c r="N12" s="25"/>
      <c r="O12" s="26"/>
      <c r="P12" s="6"/>
    </row>
    <row r="13" spans="2:16" ht="24" customHeight="1" x14ac:dyDescent="0.25">
      <c r="B13" s="6"/>
      <c r="C13" s="27" t="s">
        <v>351</v>
      </c>
      <c r="D13" s="28"/>
      <c r="E13" s="29"/>
      <c r="F13" s="27" t="s">
        <v>14</v>
      </c>
      <c r="G13" s="28"/>
      <c r="H13" s="29"/>
      <c r="I13" s="27" t="s">
        <v>352</v>
      </c>
      <c r="J13" s="28"/>
      <c r="K13" s="29"/>
      <c r="L13" s="27" t="s">
        <v>353</v>
      </c>
      <c r="M13" s="28"/>
      <c r="N13" s="28"/>
      <c r="O13" s="29"/>
      <c r="P13" s="6"/>
    </row>
    <row r="14" spans="2:16" ht="24" customHeight="1" x14ac:dyDescent="0.25">
      <c r="B14" s="6"/>
      <c r="C14" s="30"/>
      <c r="D14" s="31"/>
      <c r="E14" s="32"/>
      <c r="F14" s="30"/>
      <c r="G14" s="31"/>
      <c r="H14" s="32"/>
      <c r="I14" s="30"/>
      <c r="J14" s="31"/>
      <c r="K14" s="32"/>
      <c r="L14" s="30"/>
      <c r="M14" s="31"/>
      <c r="N14" s="31"/>
      <c r="O14" s="32"/>
      <c r="P14" s="6"/>
    </row>
    <row r="15" spans="2:16" ht="24" customHeight="1" x14ac:dyDescent="0.25">
      <c r="B15" s="6"/>
      <c r="C15" s="34" t="s">
        <v>354</v>
      </c>
      <c r="D15" s="25"/>
      <c r="E15" s="26"/>
      <c r="F15" s="34" t="s">
        <v>355</v>
      </c>
      <c r="G15" s="25"/>
      <c r="H15" s="26"/>
      <c r="I15" s="34" t="s">
        <v>356</v>
      </c>
      <c r="J15" s="25"/>
      <c r="K15" s="26"/>
      <c r="L15" s="34" t="s">
        <v>357</v>
      </c>
      <c r="M15" s="25"/>
      <c r="N15" s="25"/>
      <c r="O15" s="26"/>
      <c r="P15" s="6"/>
    </row>
    <row r="16" spans="2:16" ht="24" customHeight="1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2:16" ht="24" customHeight="1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2:16" ht="24" customHeight="1" x14ac:dyDescent="0.25">
      <c r="B18" s="6"/>
      <c r="C18" s="24" t="s">
        <v>358</v>
      </c>
      <c r="D18" s="25"/>
      <c r="E18" s="25"/>
      <c r="F18" s="25"/>
      <c r="G18" s="25"/>
      <c r="H18" s="25"/>
      <c r="I18" s="26"/>
      <c r="J18" s="36" t="s">
        <v>359</v>
      </c>
      <c r="K18" s="25"/>
      <c r="L18" s="26"/>
      <c r="M18" s="24" t="s">
        <v>360</v>
      </c>
      <c r="N18" s="25"/>
      <c r="O18" s="26"/>
      <c r="P18" s="6"/>
    </row>
    <row r="19" spans="2:16" ht="24" customHeight="1" x14ac:dyDescent="0.25">
      <c r="B19" s="6"/>
      <c r="C19" s="20"/>
      <c r="D19" s="20"/>
      <c r="E19" s="20"/>
      <c r="F19" s="20"/>
      <c r="G19" s="20"/>
      <c r="H19" s="20"/>
      <c r="I19" s="20"/>
      <c r="J19" s="37" t="s">
        <v>361</v>
      </c>
      <c r="K19" s="28"/>
      <c r="L19" s="29"/>
      <c r="M19" s="20"/>
      <c r="N19" s="20"/>
      <c r="O19" s="20"/>
      <c r="P19" s="6"/>
    </row>
    <row r="20" spans="2:16" ht="24" customHeight="1" x14ac:dyDescent="0.25">
      <c r="B20" s="6"/>
      <c r="C20" s="20"/>
      <c r="D20" s="20"/>
      <c r="E20" s="20"/>
      <c r="F20" s="20"/>
      <c r="G20" s="20"/>
      <c r="H20" s="20"/>
      <c r="I20" s="20"/>
      <c r="J20" s="38"/>
      <c r="K20" s="23"/>
      <c r="L20" s="39"/>
      <c r="M20" s="20"/>
      <c r="N20" s="20"/>
      <c r="O20" s="20"/>
      <c r="P20" s="6"/>
    </row>
    <row r="21" spans="2:16" ht="24" customHeight="1" x14ac:dyDescent="0.25">
      <c r="B21" s="6"/>
      <c r="C21" s="20"/>
      <c r="D21" s="20"/>
      <c r="E21" s="20"/>
      <c r="F21" s="20"/>
      <c r="G21" s="20"/>
      <c r="H21" s="20"/>
      <c r="I21" s="20"/>
      <c r="J21" s="38"/>
      <c r="K21" s="23"/>
      <c r="L21" s="39"/>
      <c r="M21" s="20"/>
      <c r="N21" s="20"/>
      <c r="O21" s="20"/>
      <c r="P21" s="6"/>
    </row>
    <row r="22" spans="2:16" ht="24" customHeight="1" x14ac:dyDescent="0.25">
      <c r="B22" s="6"/>
      <c r="C22" s="20"/>
      <c r="D22" s="20"/>
      <c r="E22" s="20"/>
      <c r="F22" s="20"/>
      <c r="G22" s="20"/>
      <c r="H22" s="20"/>
      <c r="I22" s="20"/>
      <c r="J22" s="38"/>
      <c r="K22" s="23"/>
      <c r="L22" s="39"/>
      <c r="M22" s="20"/>
      <c r="N22" s="20"/>
      <c r="O22" s="20"/>
      <c r="P22" s="6"/>
    </row>
    <row r="23" spans="2:16" ht="24" customHeight="1" x14ac:dyDescent="0.25">
      <c r="B23" s="6"/>
      <c r="C23" s="20"/>
      <c r="D23" s="20"/>
      <c r="E23" s="20"/>
      <c r="F23" s="20"/>
      <c r="G23" s="20"/>
      <c r="H23" s="20"/>
      <c r="I23" s="20"/>
      <c r="J23" s="38"/>
      <c r="K23" s="23"/>
      <c r="L23" s="39"/>
      <c r="M23" s="20"/>
      <c r="N23" s="20"/>
      <c r="O23" s="20"/>
      <c r="P23" s="6"/>
    </row>
    <row r="24" spans="2:16" ht="24" customHeight="1" x14ac:dyDescent="0.25">
      <c r="B24" s="6"/>
      <c r="C24" s="20"/>
      <c r="D24" s="20"/>
      <c r="E24" s="20"/>
      <c r="F24" s="20"/>
      <c r="G24" s="20"/>
      <c r="H24" s="20"/>
      <c r="I24" s="20"/>
      <c r="J24" s="38"/>
      <c r="K24" s="23"/>
      <c r="L24" s="39"/>
      <c r="M24" s="20"/>
      <c r="N24" s="20"/>
      <c r="O24" s="20"/>
      <c r="P24" s="6"/>
    </row>
    <row r="25" spans="2:16" ht="24" customHeight="1" x14ac:dyDescent="0.25">
      <c r="B25" s="6"/>
      <c r="C25" s="20"/>
      <c r="D25" s="20"/>
      <c r="E25" s="20"/>
      <c r="F25" s="20"/>
      <c r="G25" s="20"/>
      <c r="H25" s="20"/>
      <c r="I25" s="20"/>
      <c r="J25" s="38"/>
      <c r="K25" s="23"/>
      <c r="L25" s="39"/>
      <c r="M25" s="20"/>
      <c r="N25" s="20"/>
      <c r="O25" s="20"/>
      <c r="P25" s="6"/>
    </row>
    <row r="26" spans="2:16" ht="24" customHeight="1" x14ac:dyDescent="0.25">
      <c r="B26" s="6"/>
      <c r="C26" s="20"/>
      <c r="D26" s="20"/>
      <c r="E26" s="20"/>
      <c r="F26" s="20"/>
      <c r="G26" s="20"/>
      <c r="H26" s="20"/>
      <c r="I26" s="20"/>
      <c r="J26" s="38"/>
      <c r="K26" s="23"/>
      <c r="L26" s="39"/>
      <c r="M26" s="20"/>
      <c r="N26" s="20"/>
      <c r="O26" s="20"/>
      <c r="P26" s="6"/>
    </row>
    <row r="27" spans="2:16" ht="24" customHeight="1" x14ac:dyDescent="0.25">
      <c r="B27" s="6"/>
      <c r="C27" s="20"/>
      <c r="D27" s="20"/>
      <c r="E27" s="20"/>
      <c r="F27" s="20"/>
      <c r="G27" s="20"/>
      <c r="H27" s="20"/>
      <c r="I27" s="20"/>
      <c r="J27" s="38"/>
      <c r="K27" s="23"/>
      <c r="L27" s="39"/>
      <c r="M27" s="20"/>
      <c r="N27" s="20"/>
      <c r="O27" s="20"/>
      <c r="P27" s="6"/>
    </row>
    <row r="28" spans="2:16" ht="24" customHeight="1" x14ac:dyDescent="0.25">
      <c r="B28" s="6"/>
      <c r="C28" s="20"/>
      <c r="D28" s="20"/>
      <c r="E28" s="20"/>
      <c r="F28" s="20"/>
      <c r="G28" s="20"/>
      <c r="H28" s="20"/>
      <c r="I28" s="20"/>
      <c r="J28" s="38"/>
      <c r="K28" s="23"/>
      <c r="L28" s="39"/>
      <c r="M28" s="20"/>
      <c r="N28" s="20"/>
      <c r="O28" s="20"/>
      <c r="P28" s="6"/>
    </row>
    <row r="29" spans="2:16" ht="24" customHeight="1" x14ac:dyDescent="0.25">
      <c r="B29" s="6"/>
      <c r="C29" s="20"/>
      <c r="D29" s="20"/>
      <c r="E29" s="20"/>
      <c r="F29" s="20"/>
      <c r="G29" s="20"/>
      <c r="H29" s="20"/>
      <c r="I29" s="20"/>
      <c r="J29" s="30"/>
      <c r="K29" s="31"/>
      <c r="L29" s="32"/>
      <c r="M29" s="20"/>
      <c r="N29" s="20"/>
      <c r="O29" s="20"/>
      <c r="P29" s="6"/>
    </row>
    <row r="30" spans="2:16" ht="24" customHeight="1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2:16" ht="24" customHeight="1" x14ac:dyDescent="0.25">
      <c r="B31" s="6"/>
      <c r="C31" s="24" t="s">
        <v>362</v>
      </c>
      <c r="D31" s="25"/>
      <c r="E31" s="25"/>
      <c r="F31" s="25"/>
      <c r="G31" s="26"/>
      <c r="H31" s="24" t="s">
        <v>363</v>
      </c>
      <c r="I31" s="25"/>
      <c r="J31" s="25"/>
      <c r="K31" s="25"/>
      <c r="L31" s="26"/>
      <c r="M31" s="24" t="s">
        <v>364</v>
      </c>
      <c r="N31" s="25"/>
      <c r="O31" s="26"/>
      <c r="P31" s="6"/>
    </row>
    <row r="32" spans="2:16" ht="24" customHeight="1" x14ac:dyDescent="0.25">
      <c r="B32" s="6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6"/>
    </row>
    <row r="33" spans="2:16" ht="24" customHeight="1" x14ac:dyDescent="0.25">
      <c r="B33" s="6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6"/>
    </row>
    <row r="34" spans="2:16" ht="24" customHeight="1" x14ac:dyDescent="0.25">
      <c r="B34" s="6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6"/>
    </row>
    <row r="35" spans="2:16" ht="24" customHeight="1" x14ac:dyDescent="0.25">
      <c r="B35" s="6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6"/>
    </row>
    <row r="36" spans="2:16" ht="24" customHeight="1" x14ac:dyDescent="0.25">
      <c r="B36" s="6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6"/>
    </row>
    <row r="37" spans="2:16" ht="24" customHeight="1" x14ac:dyDescent="0.25">
      <c r="B37" s="6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6"/>
    </row>
    <row r="38" spans="2:16" ht="24" customHeight="1" x14ac:dyDescent="0.25">
      <c r="B38" s="6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6"/>
    </row>
    <row r="39" spans="2:16" ht="24" customHeight="1" x14ac:dyDescent="0.25">
      <c r="B39" s="6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6"/>
    </row>
    <row r="40" spans="2:16" ht="24" customHeight="1" x14ac:dyDescent="0.25">
      <c r="B40" s="6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6"/>
    </row>
    <row r="41" spans="2:16" ht="58.5" customHeight="1" x14ac:dyDescent="0.2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</sheetData>
  <mergeCells count="33">
    <mergeCell ref="C8:E9"/>
    <mergeCell ref="H31:L31"/>
    <mergeCell ref="L10:O10"/>
    <mergeCell ref="F15:H15"/>
    <mergeCell ref="I7:K7"/>
    <mergeCell ref="F8:H9"/>
    <mergeCell ref="M31:O31"/>
    <mergeCell ref="I12:K12"/>
    <mergeCell ref="F13:H14"/>
    <mergeCell ref="L15:O15"/>
    <mergeCell ref="F7:H7"/>
    <mergeCell ref="I15:K15"/>
    <mergeCell ref="F10:H10"/>
    <mergeCell ref="J19:L29"/>
    <mergeCell ref="M18:O18"/>
    <mergeCell ref="I8:K9"/>
    <mergeCell ref="C31:G31"/>
    <mergeCell ref="C2:K3"/>
    <mergeCell ref="C18:I18"/>
    <mergeCell ref="L8:O9"/>
    <mergeCell ref="L13:O14"/>
    <mergeCell ref="F12:H12"/>
    <mergeCell ref="C13:E14"/>
    <mergeCell ref="C7:E7"/>
    <mergeCell ref="I10:K10"/>
    <mergeCell ref="I13:K14"/>
    <mergeCell ref="L12:O12"/>
    <mergeCell ref="C12:E12"/>
    <mergeCell ref="C4:J4"/>
    <mergeCell ref="L7:O7"/>
    <mergeCell ref="J18:L18"/>
    <mergeCell ref="C10:E10"/>
    <mergeCell ref="C15:E1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B̳ases</vt:lpstr>
      <vt:lpstr>Cálculos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Christopher Benini</cp:lastModifiedBy>
  <dcterms:created xsi:type="dcterms:W3CDTF">2024-12-19T13:13:10Z</dcterms:created>
  <dcterms:modified xsi:type="dcterms:W3CDTF">2026-03-17T02:06:10Z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